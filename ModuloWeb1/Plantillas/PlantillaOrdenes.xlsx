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afon\OneDrive\Escritorio\"/>
    </mc:Choice>
  </mc:AlternateContent>
  <xr:revisionPtr revIDLastSave="0" documentId="8_{59F4D2EB-B631-46CD-AF18-F2DCECE4EC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info" sheetId="2" r:id="rId2"/>
    <sheet name="forms_productos" sheetId="3" r:id="rId3"/>
    <sheet name="Instancia" sheetId="4" r:id="rId4"/>
    <sheet name="form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J15" i="1"/>
  <c r="G15" i="1"/>
  <c r="E15" i="1"/>
  <c r="B15" i="1"/>
  <c r="J14" i="1"/>
  <c r="B13" i="1"/>
  <c r="I6" i="1"/>
</calcChain>
</file>

<file path=xl/sharedStrings.xml><?xml version="1.0" encoding="utf-8"?>
<sst xmlns="http://schemas.openxmlformats.org/spreadsheetml/2006/main" count="2087" uniqueCount="1106">
  <si>
    <r>
      <rPr>
        <b/>
        <sz val="10"/>
        <color theme="1"/>
        <rFont val="Arial"/>
      </rPr>
      <t>Facturar a:</t>
    </r>
    <r>
      <rPr>
        <sz val="10"/>
        <color theme="1"/>
        <rFont val="Arial"/>
      </rPr>
      <t xml:space="preserve">  SUPLINDUSTRIA S.A.S.</t>
    </r>
  </si>
  <si>
    <r>
      <rPr>
        <b/>
        <sz val="10"/>
        <color theme="1"/>
        <rFont val="Arial"/>
      </rPr>
      <t xml:space="preserve">Nit/CC: </t>
    </r>
    <r>
      <rPr>
        <sz val="10"/>
        <color theme="1"/>
        <rFont val="Arial"/>
      </rPr>
      <t xml:space="preserve">   901.130.635-2     </t>
    </r>
  </si>
  <si>
    <r>
      <rPr>
        <b/>
        <sz val="10"/>
        <color theme="1"/>
        <rFont val="Arial"/>
      </rPr>
      <t xml:space="preserve">Ciudad: </t>
    </r>
    <r>
      <rPr>
        <sz val="10"/>
        <color theme="1"/>
        <rFont val="Arial"/>
      </rPr>
      <t xml:space="preserve">     Medellin       </t>
    </r>
    <r>
      <rPr>
        <b/>
        <sz val="10"/>
        <color theme="1"/>
        <rFont val="Arial"/>
      </rPr>
      <t>Depto:</t>
    </r>
    <r>
      <rPr>
        <sz val="10"/>
        <color theme="1"/>
        <rFont val="Arial"/>
      </rPr>
      <t xml:space="preserve">    Antioquia</t>
    </r>
  </si>
  <si>
    <r>
      <rPr>
        <b/>
        <sz val="10"/>
        <color theme="1"/>
        <rFont val="Arial"/>
      </rPr>
      <t xml:space="preserve">Direccion: </t>
    </r>
    <r>
      <rPr>
        <sz val="10"/>
        <color theme="1"/>
        <rFont val="Arial"/>
      </rPr>
      <t xml:space="preserve"> CRR. 56 # 29-60</t>
    </r>
  </si>
  <si>
    <t>Telefonos/Fax/Cel:    3185555553</t>
  </si>
  <si>
    <r>
      <rPr>
        <b/>
        <sz val="10"/>
        <color theme="1"/>
        <rFont val="Arial"/>
      </rPr>
      <t>Telefonos:</t>
    </r>
    <r>
      <rPr>
        <sz val="10"/>
        <color theme="1"/>
        <rFont val="Arial"/>
      </rPr>
      <t xml:space="preserve">    (+574) 5776061</t>
    </r>
  </si>
  <si>
    <t xml:space="preserve">Fax:  </t>
  </si>
  <si>
    <t>OC 1518</t>
  </si>
  <si>
    <t>Fecha Orden</t>
  </si>
  <si>
    <t>Moneda</t>
  </si>
  <si>
    <t>Comprador</t>
  </si>
  <si>
    <t>Ln</t>
  </si>
  <si>
    <t>Item</t>
  </si>
  <si>
    <t>Catalogo</t>
  </si>
  <si>
    <t>Modelo</t>
  </si>
  <si>
    <t>Descripcion</t>
  </si>
  <si>
    <t>F. Entrega</t>
  </si>
  <si>
    <t>%IVA</t>
  </si>
  <si>
    <t>Cantidad</t>
  </si>
  <si>
    <t>UM</t>
  </si>
  <si>
    <t>Precio Unit.</t>
  </si>
  <si>
    <t>% Desc.</t>
  </si>
  <si>
    <t>Valor Total</t>
  </si>
  <si>
    <t>Observaciones:</t>
  </si>
  <si>
    <t>N/A</t>
  </si>
  <si>
    <t>Firma y sello</t>
  </si>
  <si>
    <t>Subtotal:</t>
  </si>
  <si>
    <t>Descuento:</t>
  </si>
  <si>
    <t>Total:</t>
  </si>
  <si>
    <t xml:space="preserve">Número de Orden </t>
  </si>
  <si>
    <t>Proveedor</t>
  </si>
  <si>
    <t>NIT/CC</t>
  </si>
  <si>
    <t>Ciudad</t>
  </si>
  <si>
    <t>Dirección</t>
  </si>
  <si>
    <t xml:space="preserve">  Comprador  </t>
  </si>
  <si>
    <t>NIDEC_CORPORATION</t>
  </si>
  <si>
    <t>#</t>
  </si>
  <si>
    <t>ANNI CARMONA</t>
  </si>
  <si>
    <t>CONSORCIO_INDUSTRIAL_S.A</t>
  </si>
  <si>
    <t>890900290-0</t>
  </si>
  <si>
    <t xml:space="preserve">  Sabaneta</t>
  </si>
  <si>
    <t xml:space="preserve">Cr 48 A 60 A SUR 09 </t>
  </si>
  <si>
    <t>REGAL_BELOIT_DE_MEXICO</t>
  </si>
  <si>
    <t>UMS100217894</t>
  </si>
  <si>
    <t>SANTA CATARINA</t>
  </si>
  <si>
    <t>AV. TRANSFORMACION</t>
  </si>
  <si>
    <t xml:space="preserve">GRUPO_MAYA_VELÁSQUEZ_S.A.S_(POWER </t>
  </si>
  <si>
    <t xml:space="preserve"> 900536499-7     </t>
  </si>
  <si>
    <t>Medellín</t>
  </si>
  <si>
    <t xml:space="preserve">Calle 29D # 55-153  </t>
  </si>
  <si>
    <t>ABB_COLOMBIA_LTDA</t>
  </si>
  <si>
    <t>901283882-1</t>
  </si>
  <si>
    <t>Bogotá</t>
  </si>
  <si>
    <t>CR 45 108 27 TO 1 P 12 (!) PARALELO 108</t>
  </si>
  <si>
    <t xml:space="preserve">ALBA_LUCIA_ARIAS_CORRALES </t>
  </si>
  <si>
    <t>CALLE 58 SUR NO. 42 - 99 IN 142 URB SAN ANTONIO 2</t>
  </si>
  <si>
    <t xml:space="preserve">BEARINGS_TRANSMISSION_COLOMBIA </t>
  </si>
  <si>
    <t>830138228-7</t>
  </si>
  <si>
    <t>CR 58 14 01</t>
  </si>
  <si>
    <t>AUTOMEX</t>
  </si>
  <si>
    <t>CR 31 A 9 52</t>
  </si>
  <si>
    <t>GENERACION_Y_MAQUINARIA_SAS</t>
  </si>
  <si>
    <t>CL 26 92 32</t>
  </si>
  <si>
    <t>AQUATRECE</t>
  </si>
  <si>
    <t>900.386.335-3</t>
  </si>
  <si>
    <t xml:space="preserve"> CHIA </t>
  </si>
  <si>
    <t>CR 1 4 02 BG 11 PAR INDUSTRIAL K 2</t>
  </si>
  <si>
    <t>ALMACEN_BOMBAS_S.A</t>
  </si>
  <si>
    <t>CL 50 54 15</t>
  </si>
  <si>
    <t>HIDRAULICA_INDUSTRIAL_Y_METALMECANICA_S.A.S</t>
  </si>
  <si>
    <t>890.108.961-8</t>
  </si>
  <si>
    <t>SOLEDAD</t>
  </si>
  <si>
    <t>CL 19 1 314 AUT AEROPUERTO</t>
  </si>
  <si>
    <t>Marca temporal</t>
  </si>
  <si>
    <t xml:space="preserve">Número de orden </t>
  </si>
  <si>
    <t>Catálogo</t>
  </si>
  <si>
    <t xml:space="preserve">Modelo </t>
  </si>
  <si>
    <t xml:space="preserve">Descripción </t>
  </si>
  <si>
    <t xml:space="preserve">Fecha de entrega </t>
  </si>
  <si>
    <t xml:space="preserve">  ¿IVA?  </t>
  </si>
  <si>
    <t xml:space="preserve">  Cantidad  </t>
  </si>
  <si>
    <t xml:space="preserve">  Unidad de medida (UM)  </t>
  </si>
  <si>
    <t xml:space="preserve">  Precio unitario  </t>
  </si>
  <si>
    <t>%descuento</t>
  </si>
  <si>
    <t>Valor total</t>
  </si>
  <si>
    <t xml:space="preserve">  ¿Este es el último producto de la orden? </t>
  </si>
  <si>
    <t>sisas</t>
  </si>
  <si>
    <t>eff4fff</t>
  </si>
  <si>
    <t>fefefefr33</t>
  </si>
  <si>
    <t>SI</t>
  </si>
  <si>
    <t>23fe</t>
  </si>
  <si>
    <t>3e33r</t>
  </si>
  <si>
    <t>3r3r</t>
  </si>
  <si>
    <t>vdvecd</t>
  </si>
  <si>
    <t>cdcdcdcdcdc</t>
  </si>
  <si>
    <t>eree</t>
  </si>
  <si>
    <t>were</t>
  </si>
  <si>
    <t>efeg</t>
  </si>
  <si>
    <t>grer</t>
  </si>
  <si>
    <t>33ef4</t>
  </si>
  <si>
    <t>44ed</t>
  </si>
  <si>
    <t>ececef</t>
  </si>
  <si>
    <t>wedfwedfe</t>
  </si>
  <si>
    <t>efeferer</t>
  </si>
  <si>
    <t>rereddw</t>
  </si>
  <si>
    <t>wdwfww</t>
  </si>
  <si>
    <t>ewwf</t>
  </si>
  <si>
    <t>wdwfw</t>
  </si>
  <si>
    <t>werw</t>
  </si>
  <si>
    <t>3df4fe</t>
  </si>
  <si>
    <t>fw2ee3</t>
  </si>
  <si>
    <t>wewewfefg</t>
  </si>
  <si>
    <t>dfdrer3</t>
  </si>
  <si>
    <t>3r</t>
  </si>
  <si>
    <t>err3</t>
  </si>
  <si>
    <t>3re3</t>
  </si>
  <si>
    <t>dede</t>
  </si>
  <si>
    <t>ede</t>
  </si>
  <si>
    <t>ed</t>
  </si>
  <si>
    <t>dedgc</t>
  </si>
  <si>
    <t>fffd</t>
  </si>
  <si>
    <t>dff</t>
  </si>
  <si>
    <t>fvf</t>
  </si>
  <si>
    <t>werwew</t>
  </si>
  <si>
    <t>ewewrwww</t>
  </si>
  <si>
    <t>dwdwewe</t>
  </si>
  <si>
    <t>wre</t>
  </si>
  <si>
    <t>wwew</t>
  </si>
  <si>
    <t>wrwew</t>
  </si>
  <si>
    <t>wwe</t>
  </si>
  <si>
    <t>wewrw</t>
  </si>
  <si>
    <t>ewfewfew</t>
  </si>
  <si>
    <t>g44frgg</t>
  </si>
  <si>
    <t>gtht6r</t>
  </si>
  <si>
    <t>5t5rgf</t>
  </si>
  <si>
    <t>gt5rhg</t>
  </si>
  <si>
    <t>5tg5</t>
  </si>
  <si>
    <t>5t</t>
  </si>
  <si>
    <t>5tg5r</t>
  </si>
  <si>
    <t>fvdfee</t>
  </si>
  <si>
    <t>fefe</t>
  </si>
  <si>
    <t>feef</t>
  </si>
  <si>
    <t>frgd</t>
  </si>
  <si>
    <t>dfsd</t>
  </si>
  <si>
    <t>4fe</t>
  </si>
  <si>
    <t>efe</t>
  </si>
  <si>
    <t>eed</t>
  </si>
  <si>
    <t>de</t>
  </si>
  <si>
    <t>acs</t>
  </si>
  <si>
    <t>sac</t>
  </si>
  <si>
    <t>xz</t>
  </si>
  <si>
    <t>ce</t>
  </si>
  <si>
    <t>3rd</t>
  </si>
  <si>
    <t>3w</t>
  </si>
  <si>
    <t>ef</t>
  </si>
  <si>
    <t>dfr</t>
  </si>
  <si>
    <t>edde</t>
  </si>
  <si>
    <t>fgefe</t>
  </si>
  <si>
    <t>gg</t>
  </si>
  <si>
    <t>vrgte</t>
  </si>
  <si>
    <t>regregedr</t>
  </si>
  <si>
    <t>greregf</t>
  </si>
  <si>
    <t>reghtyrt</t>
  </si>
  <si>
    <t>thrdhf</t>
  </si>
  <si>
    <t>ergesrg</t>
  </si>
  <si>
    <t>egrehgt</t>
  </si>
  <si>
    <t>greg</t>
  </si>
  <si>
    <t>ss</t>
  </si>
  <si>
    <t>erwgr4t</t>
  </si>
  <si>
    <t>5rg</t>
  </si>
  <si>
    <t>5rgg</t>
  </si>
  <si>
    <t>rgrt</t>
  </si>
  <si>
    <t>rgthy</t>
  </si>
  <si>
    <t>thb65t</t>
  </si>
  <si>
    <t>rgbhgt6</t>
  </si>
  <si>
    <t>5rgth</t>
  </si>
  <si>
    <t>r5hg</t>
  </si>
  <si>
    <t>gfb</t>
  </si>
  <si>
    <t>fgn</t>
  </si>
  <si>
    <t>dfng</t>
  </si>
  <si>
    <t>fgny</t>
  </si>
  <si>
    <t>drygn</t>
  </si>
  <si>
    <t>rgyn</t>
  </si>
  <si>
    <t>gryn</t>
  </si>
  <si>
    <t>rdygn</t>
  </si>
  <si>
    <t>rdgn</t>
  </si>
  <si>
    <t>rt</t>
  </si>
  <si>
    <t>NO</t>
  </si>
  <si>
    <t>re</t>
  </si>
  <si>
    <t>erg</t>
  </si>
  <si>
    <t>frfrfr</t>
  </si>
  <si>
    <t>frfrfrfrf</t>
  </si>
  <si>
    <t>rfrfrfrf</t>
  </si>
  <si>
    <t>frffr</t>
  </si>
  <si>
    <t>rfr</t>
  </si>
  <si>
    <t>frf</t>
  </si>
  <si>
    <t>frfr</t>
  </si>
  <si>
    <t>frfrf</t>
  </si>
  <si>
    <t>brg</t>
  </si>
  <si>
    <t>grb</t>
  </si>
  <si>
    <t>rbg</t>
  </si>
  <si>
    <t>rgb</t>
  </si>
  <si>
    <t>efef</t>
  </si>
  <si>
    <t>rf</t>
  </si>
  <si>
    <t>rfrg</t>
  </si>
  <si>
    <t>rgrf</t>
  </si>
  <si>
    <t>rftg</t>
  </si>
  <si>
    <t>ytnum</t>
  </si>
  <si>
    <t>th</t>
  </si>
  <si>
    <t>mtu</t>
  </si>
  <si>
    <t>tm</t>
  </si>
  <si>
    <t>thm</t>
  </si>
  <si>
    <t>tmhu</t>
  </si>
  <si>
    <t>tmh</t>
  </si>
  <si>
    <t>thum</t>
  </si>
  <si>
    <t>12r34</t>
  </si>
  <si>
    <t>r</t>
  </si>
  <si>
    <t>f</t>
  </si>
  <si>
    <t>si</t>
  </si>
  <si>
    <t>fr</t>
  </si>
  <si>
    <t>3e</t>
  </si>
  <si>
    <t>efg</t>
  </si>
  <si>
    <t>gr</t>
  </si>
  <si>
    <t>vddvd</t>
  </si>
  <si>
    <t>ve</t>
  </si>
  <si>
    <t>dvd</t>
  </si>
  <si>
    <t>xcvfgr</t>
  </si>
  <si>
    <t>frged</t>
  </si>
  <si>
    <t>eff</t>
  </si>
  <si>
    <t>effe</t>
  </si>
  <si>
    <t>No</t>
  </si>
  <si>
    <t>ewfe</t>
  </si>
  <si>
    <t>gvrrd</t>
  </si>
  <si>
    <t>seefr</t>
  </si>
  <si>
    <t>rgf</t>
  </si>
  <si>
    <t>esf</t>
  </si>
  <si>
    <t>dvgrfr</t>
  </si>
  <si>
    <t>rdgf</t>
  </si>
  <si>
    <t>rdg</t>
  </si>
  <si>
    <t>few</t>
  </si>
  <si>
    <t>ewf</t>
  </si>
  <si>
    <t>asc</t>
  </si>
  <si>
    <t>wrg</t>
  </si>
  <si>
    <t>grwfe</t>
  </si>
  <si>
    <t>edf</t>
  </si>
  <si>
    <t>eacf</t>
  </si>
  <si>
    <t>edgvw</t>
  </si>
  <si>
    <t>ewad</t>
  </si>
  <si>
    <t>sdzvfre</t>
  </si>
  <si>
    <t>wef</t>
  </si>
  <si>
    <t>edfr4weaf</t>
  </si>
  <si>
    <t>edfe</t>
  </si>
  <si>
    <t>ewfce</t>
  </si>
  <si>
    <t>r4wee</t>
  </si>
  <si>
    <t>ew4f</t>
  </si>
  <si>
    <t>ewaf4</t>
  </si>
  <si>
    <t>efg4w3</t>
  </si>
  <si>
    <t>wegv4w</t>
  </si>
  <si>
    <t>Sí</t>
  </si>
  <si>
    <t>llanos</t>
  </si>
  <si>
    <t>rbfe</t>
  </si>
  <si>
    <t>esrgfv</t>
  </si>
  <si>
    <t>htegfvrbgrht5y</t>
  </si>
  <si>
    <t>the4wefrg5</t>
  </si>
  <si>
    <t>gvrth5ytrg</t>
  </si>
  <si>
    <t>th54frgth5</t>
  </si>
  <si>
    <t>llanoss</t>
  </si>
  <si>
    <t>grgbrg</t>
  </si>
  <si>
    <t>drht</t>
  </si>
  <si>
    <t>wgrgfre</t>
  </si>
  <si>
    <t>5r43gr</t>
  </si>
  <si>
    <t>ersg54fr</t>
  </si>
  <si>
    <t>we4gr</t>
  </si>
  <si>
    <t>wegvr53e</t>
  </si>
  <si>
    <t>354gfrvr</t>
  </si>
  <si>
    <t>ferwf</t>
  </si>
  <si>
    <t>feefr</t>
  </si>
  <si>
    <t>regrg</t>
  </si>
  <si>
    <t>erged</t>
  </si>
  <si>
    <t>esgrvrs</t>
  </si>
  <si>
    <t>esgbfre</t>
  </si>
  <si>
    <t>etsgfber</t>
  </si>
  <si>
    <t>regre</t>
  </si>
  <si>
    <t>resge</t>
  </si>
  <si>
    <t>ersge</t>
  </si>
  <si>
    <t>resgv</t>
  </si>
  <si>
    <t>ers</t>
  </si>
  <si>
    <t>esgvre</t>
  </si>
  <si>
    <t>llanito00</t>
  </si>
  <si>
    <t>f4edfr</t>
  </si>
  <si>
    <t>rg</t>
  </si>
  <si>
    <t>grgr</t>
  </si>
  <si>
    <t>rgr</t>
  </si>
  <si>
    <t>4fr</t>
  </si>
  <si>
    <t>rvfererer</t>
  </si>
  <si>
    <t>etgtt</t>
  </si>
  <si>
    <t>etgtte</t>
  </si>
  <si>
    <t>etgt</t>
  </si>
  <si>
    <t>etgte</t>
  </si>
  <si>
    <t>32rf</t>
  </si>
  <si>
    <t>triki</t>
  </si>
  <si>
    <t>eeee</t>
  </si>
  <si>
    <t>fffefe</t>
  </si>
  <si>
    <t>ffee</t>
  </si>
  <si>
    <t>efefe</t>
  </si>
  <si>
    <t>efeffe</t>
  </si>
  <si>
    <t>fe</t>
  </si>
  <si>
    <t>borra</t>
  </si>
  <si>
    <t>veet</t>
  </si>
  <si>
    <t>gteegtte</t>
  </si>
  <si>
    <t>etgtgte</t>
  </si>
  <si>
    <t>nynyr</t>
  </si>
  <si>
    <t>ddsds</t>
  </si>
  <si>
    <t>gt</t>
  </si>
  <si>
    <t>frfrg</t>
  </si>
  <si>
    <t>rrytef</t>
  </si>
  <si>
    <t>grthhgrr</t>
  </si>
  <si>
    <t>tgtrg</t>
  </si>
  <si>
    <t>rgyrtr</t>
  </si>
  <si>
    <t>46trg</t>
  </si>
  <si>
    <t>eefrfr</t>
  </si>
  <si>
    <t>grgrg</t>
  </si>
  <si>
    <t>thytfrfdf</t>
  </si>
  <si>
    <t>dhrghth</t>
  </si>
  <si>
    <t>thhthr</t>
  </si>
  <si>
    <t>4yh</t>
  </si>
  <si>
    <t>adseqwd</t>
  </si>
  <si>
    <t>elborra</t>
  </si>
  <si>
    <t>valgomonda</t>
  </si>
  <si>
    <t>regfdvrrg</t>
  </si>
  <si>
    <t>fsvfv</t>
  </si>
  <si>
    <t>rev</t>
  </si>
  <si>
    <t>432ferc</t>
  </si>
  <si>
    <t>hola</t>
  </si>
  <si>
    <t>dcdcaddvsfsv</t>
  </si>
  <si>
    <t>vrwcdsf</t>
  </si>
  <si>
    <t>rfverwdvfrervfd</t>
  </si>
  <si>
    <t>vervetrv</t>
  </si>
  <si>
    <t>df</t>
  </si>
  <si>
    <t>diosxfa</t>
  </si>
  <si>
    <t>tgrfe</t>
  </si>
  <si>
    <t>tgrfed</t>
  </si>
  <si>
    <t>grfed</t>
  </si>
  <si>
    <t>btgvrfed</t>
  </si>
  <si>
    <t>btgfrfe</t>
  </si>
  <si>
    <t>telopido</t>
  </si>
  <si>
    <t>tegrf</t>
  </si>
  <si>
    <t>ryhteg5</t>
  </si>
  <si>
    <t>fyghj</t>
  </si>
  <si>
    <t>g5rte4r</t>
  </si>
  <si>
    <t>manoo</t>
  </si>
  <si>
    <t>cdwr</t>
  </si>
  <si>
    <t>erdf</t>
  </si>
  <si>
    <t>etr</t>
  </si>
  <si>
    <t>btefvr</t>
  </si>
  <si>
    <t>grefw</t>
  </si>
  <si>
    <t>gf</t>
  </si>
  <si>
    <t>riki</t>
  </si>
  <si>
    <t>rfed</t>
  </si>
  <si>
    <t>grfej76</t>
  </si>
  <si>
    <t>yhgt</t>
  </si>
  <si>
    <t>bvcd</t>
  </si>
  <si>
    <t>juy</t>
  </si>
  <si>
    <t>bf</t>
  </si>
  <si>
    <t>htrt</t>
  </si>
  <si>
    <t>hrt</t>
  </si>
  <si>
    <t>rth</t>
  </si>
  <si>
    <t>yjrth</t>
  </si>
  <si>
    <t>htr</t>
  </si>
  <si>
    <t>rtjnhy6</t>
  </si>
  <si>
    <t>rt5jhy6</t>
  </si>
  <si>
    <t>5rth</t>
  </si>
  <si>
    <t>rth6</t>
  </si>
  <si>
    <t>yavas</t>
  </si>
  <si>
    <t>tegr</t>
  </si>
  <si>
    <t>bhtrgf</t>
  </si>
  <si>
    <t>thbrgf</t>
  </si>
  <si>
    <t>tfge</t>
  </si>
  <si>
    <t>tbfhgfr</t>
  </si>
  <si>
    <t>bthger</t>
  </si>
  <si>
    <t>tgef</t>
  </si>
  <si>
    <t>btfge</t>
  </si>
  <si>
    <t>chencho</t>
  </si>
  <si>
    <t>bgv</t>
  </si>
  <si>
    <t>ebr</t>
  </si>
  <si>
    <t>bterf</t>
  </si>
  <si>
    <t>tegrfw</t>
  </si>
  <si>
    <t>etgrfe</t>
  </si>
  <si>
    <t>tg</t>
  </si>
  <si>
    <t>lio</t>
  </si>
  <si>
    <t>etrf</t>
  </si>
  <si>
    <t>egsf</t>
  </si>
  <si>
    <t>tbfr</t>
  </si>
  <si>
    <t>tfger</t>
  </si>
  <si>
    <t>ñema</t>
  </si>
  <si>
    <t>tgr</t>
  </si>
  <si>
    <t>etgr</t>
  </si>
  <si>
    <t>btegr</t>
  </si>
  <si>
    <t>bt</t>
  </si>
  <si>
    <t>erfe</t>
  </si>
  <si>
    <t>bv</t>
  </si>
  <si>
    <t>siii</t>
  </si>
  <si>
    <t>hytg</t>
  </si>
  <si>
    <t>htg</t>
  </si>
  <si>
    <t>thgr</t>
  </si>
  <si>
    <t>ggv</t>
  </si>
  <si>
    <t>eyou</t>
  </si>
  <si>
    <t>tgrefe</t>
  </si>
  <si>
    <t>bre</t>
  </si>
  <si>
    <t>MOTOR US MOTORS NEMA PREMIUM WPI FIRE PUMP 125 HP @ 1800 RPM FRAME 405TP</t>
  </si>
  <si>
    <t>gtrefw</t>
  </si>
  <si>
    <t>3d</t>
  </si>
  <si>
    <t>manada</t>
  </si>
  <si>
    <t>nybt</t>
  </si>
  <si>
    <t>hfngbd</t>
  </si>
  <si>
    <t xml:space="preserve">MOTOR US MOTORS NEMA PREMIUM WPI FIRE PUMP 125 HP @ 1800 RPM FRAME 405TP
</t>
  </si>
  <si>
    <t>dfas</t>
  </si>
  <si>
    <t>rytbefvdcfv</t>
  </si>
  <si>
    <t>yrbthgfvgb</t>
  </si>
  <si>
    <t>mut5rhyj4trefvbgrnhtjuh654ytefvrbgtnhjy</t>
  </si>
  <si>
    <t>tgerbf</t>
  </si>
  <si>
    <t>merawo</t>
  </si>
  <si>
    <t>cien</t>
  </si>
  <si>
    <t>yrhtge</t>
  </si>
  <si>
    <t>ngb</t>
  </si>
  <si>
    <t>nhfgbrer</t>
  </si>
  <si>
    <t>nhrgber</t>
  </si>
  <si>
    <t>nrgbter</t>
  </si>
  <si>
    <t>43rf</t>
  </si>
  <si>
    <t>yhrtge</t>
  </si>
  <si>
    <t>nyrtg</t>
  </si>
  <si>
    <t>yrtge</t>
  </si>
  <si>
    <t>terfew</t>
  </si>
  <si>
    <t>bterv</t>
  </si>
  <si>
    <t>rbter</t>
  </si>
  <si>
    <t>rtber</t>
  </si>
  <si>
    <t>tgf</t>
  </si>
  <si>
    <t>grfwe</t>
  </si>
  <si>
    <t>grfweq</t>
  </si>
  <si>
    <t>rwefq</t>
  </si>
  <si>
    <t>wefq</t>
  </si>
  <si>
    <t>pera</t>
  </si>
  <si>
    <t>deg</t>
  </si>
  <si>
    <t>nyfr</t>
  </si>
  <si>
    <t>thdr</t>
  </si>
  <si>
    <t>etdhf</t>
  </si>
  <si>
    <t>ethd</t>
  </si>
  <si>
    <t>eth</t>
  </si>
  <si>
    <t>ethf</t>
  </si>
  <si>
    <t>meloso</t>
  </si>
  <si>
    <t>egfwe</t>
  </si>
  <si>
    <t>egrw</t>
  </si>
  <si>
    <t>wgf</t>
  </si>
  <si>
    <t>wfe</t>
  </si>
  <si>
    <t>wrfe</t>
  </si>
  <si>
    <t>wg</t>
  </si>
  <si>
    <t>wr</t>
  </si>
  <si>
    <t>erfw</t>
  </si>
  <si>
    <t>er</t>
  </si>
  <si>
    <t>egt54r</t>
  </si>
  <si>
    <t>ge54</t>
  </si>
  <si>
    <t>eg54</t>
  </si>
  <si>
    <t>g5e4</t>
  </si>
  <si>
    <t>g5e</t>
  </si>
  <si>
    <t>gdfg</t>
  </si>
  <si>
    <t>fvbgf</t>
  </si>
  <si>
    <t>gfvbg</t>
  </si>
  <si>
    <t>gfgt</t>
  </si>
  <si>
    <t>gfbghyt</t>
  </si>
  <si>
    <t>gfbg</t>
  </si>
  <si>
    <t>gfbgt</t>
  </si>
  <si>
    <t>corone</t>
  </si>
  <si>
    <t>rr</t>
  </si>
  <si>
    <t>tt</t>
  </si>
  <si>
    <t>tre</t>
  </si>
  <si>
    <t>1q</t>
  </si>
  <si>
    <t>hgfgt</t>
  </si>
  <si>
    <t>hgtfgtgg</t>
  </si>
  <si>
    <t>tgt</t>
  </si>
  <si>
    <t>hg</t>
  </si>
  <si>
    <t>ytgt</t>
  </si>
  <si>
    <t>ytfgt</t>
  </si>
  <si>
    <t>tfgt</t>
  </si>
  <si>
    <t>tgtr</t>
  </si>
  <si>
    <t>trft</t>
  </si>
  <si>
    <t>tr</t>
  </si>
  <si>
    <t>trgt</t>
  </si>
  <si>
    <t>tfg</t>
  </si>
  <si>
    <t>gfg</t>
  </si>
  <si>
    <t>gfvg</t>
  </si>
  <si>
    <t>gbhg</t>
  </si>
  <si>
    <t>gtfg</t>
  </si>
  <si>
    <t>gtfbg</t>
  </si>
  <si>
    <t>ergtr</t>
  </si>
  <si>
    <t>erggt</t>
  </si>
  <si>
    <t>egebt</t>
  </si>
  <si>
    <t>trhergt</t>
  </si>
  <si>
    <t>t4egt</t>
  </si>
  <si>
    <t>ptro</t>
  </si>
  <si>
    <t>gtr</t>
  </si>
  <si>
    <t>gtrf</t>
  </si>
  <si>
    <t>gtfr</t>
  </si>
  <si>
    <t>tgfr</t>
  </si>
  <si>
    <t>abraham</t>
  </si>
  <si>
    <t>tger</t>
  </si>
  <si>
    <t>tged</t>
  </si>
  <si>
    <t>nyrbtvnhbgyfr</t>
  </si>
  <si>
    <t>hgf</t>
  </si>
  <si>
    <t>rgwfe</t>
  </si>
  <si>
    <t>egrfwe</t>
  </si>
  <si>
    <t>tegrfwe</t>
  </si>
  <si>
    <t>thegrfwe</t>
  </si>
  <si>
    <t>etgrf</t>
  </si>
  <si>
    <t>theg</t>
  </si>
  <si>
    <t>thegr</t>
  </si>
  <si>
    <t>rwef</t>
  </si>
  <si>
    <t>egfr</t>
  </si>
  <si>
    <t>misericordia</t>
  </si>
  <si>
    <t>htrgre</t>
  </si>
  <si>
    <t>hrtg</t>
  </si>
  <si>
    <t>yhrtg</t>
  </si>
  <si>
    <t>htgr</t>
  </si>
  <si>
    <t>hyrtg</t>
  </si>
  <si>
    <t>yhrt</t>
  </si>
  <si>
    <t>ythtr</t>
  </si>
  <si>
    <t>55a</t>
  </si>
  <si>
    <t>h645gt34</t>
  </si>
  <si>
    <t>h4g5t</t>
  </si>
  <si>
    <t>h6tg45</t>
  </si>
  <si>
    <t>h6tg5</t>
  </si>
  <si>
    <t>h5r6tg</t>
  </si>
  <si>
    <t>h6t45</t>
  </si>
  <si>
    <t>ht6g5</t>
  </si>
  <si>
    <t>56y54</t>
  </si>
  <si>
    <t>6y54t</t>
  </si>
  <si>
    <t>h4tge</t>
  </si>
  <si>
    <t>htger</t>
  </si>
  <si>
    <t>45t</t>
  </si>
  <si>
    <t>rhtg</t>
  </si>
  <si>
    <t>exultad</t>
  </si>
  <si>
    <t>23ge</t>
  </si>
  <si>
    <t>egrf</t>
  </si>
  <si>
    <t>hteg</t>
  </si>
  <si>
    <t>ht</t>
  </si>
  <si>
    <t>ther</t>
  </si>
  <si>
    <t>thrb</t>
  </si>
  <si>
    <t>terhdg</t>
  </si>
  <si>
    <t>teh64</t>
  </si>
  <si>
    <t>jamas</t>
  </si>
  <si>
    <t>hgt</t>
  </si>
  <si>
    <t>gtf</t>
  </si>
  <si>
    <t>hgtf</t>
  </si>
  <si>
    <t>re3</t>
  </si>
  <si>
    <t>elra</t>
  </si>
  <si>
    <t>gefr</t>
  </si>
  <si>
    <t>reg</t>
  </si>
  <si>
    <t>eg</t>
  </si>
  <si>
    <t>svdr</t>
  </si>
  <si>
    <t>svr</t>
  </si>
  <si>
    <t>srv</t>
  </si>
  <si>
    <t>res</t>
  </si>
  <si>
    <t>rsgfv</t>
  </si>
  <si>
    <t>t</t>
  </si>
  <si>
    <t>s</t>
  </si>
  <si>
    <t>trhf</t>
  </si>
  <si>
    <t>trh</t>
  </si>
  <si>
    <t>ya</t>
  </si>
  <si>
    <t>hbgt</t>
  </si>
  <si>
    <t>hgyt</t>
  </si>
  <si>
    <t>hbgyt</t>
  </si>
  <si>
    <t>nbhgyt</t>
  </si>
  <si>
    <t>gyt</t>
  </si>
  <si>
    <t>nbhgvfr</t>
  </si>
  <si>
    <t>bhgvfr</t>
  </si>
  <si>
    <t>gfr</t>
  </si>
  <si>
    <t>bhgfr</t>
  </si>
  <si>
    <t>bhgf</t>
  </si>
  <si>
    <t>gftr</t>
  </si>
  <si>
    <t>hygt</t>
  </si>
  <si>
    <t>hgy5t</t>
  </si>
  <si>
    <t>ht6gy5rt</t>
  </si>
  <si>
    <t>hyt6g5y</t>
  </si>
  <si>
    <t>hy6</t>
  </si>
  <si>
    <t>ht6gy5</t>
  </si>
  <si>
    <t>htgy5r</t>
  </si>
  <si>
    <t>bgtfr</t>
  </si>
  <si>
    <t>thgr5</t>
  </si>
  <si>
    <t>htgry</t>
  </si>
  <si>
    <t>htg5r</t>
  </si>
  <si>
    <t>thg5ryt</t>
  </si>
  <si>
    <t>ht65yrt</t>
  </si>
  <si>
    <t>thgy5rt</t>
  </si>
  <si>
    <t>gbtfr</t>
  </si>
  <si>
    <t>ngythfg</t>
  </si>
  <si>
    <t>thg5r</t>
  </si>
  <si>
    <t>htgrt5</t>
  </si>
  <si>
    <t>thr5</t>
  </si>
  <si>
    <t>hyt5</t>
  </si>
  <si>
    <t>hyt</t>
  </si>
  <si>
    <t>njth</t>
  </si>
  <si>
    <t>ry</t>
  </si>
  <si>
    <t>hr6</t>
  </si>
  <si>
    <t>e4hr</t>
  </si>
  <si>
    <t>h64</t>
  </si>
  <si>
    <t>e4th6</t>
  </si>
  <si>
    <t>54h</t>
  </si>
  <si>
    <t>h54</t>
  </si>
  <si>
    <t xml:space="preserve"> nbgvf</t>
  </si>
  <si>
    <t>hbgtfr</t>
  </si>
  <si>
    <t>bhgtf</t>
  </si>
  <si>
    <t>ñ</t>
  </si>
  <si>
    <t>nbhgt</t>
  </si>
  <si>
    <t>bhg</t>
  </si>
  <si>
    <t>yt5r4</t>
  </si>
  <si>
    <t>gyt5r</t>
  </si>
  <si>
    <t>ygt5r</t>
  </si>
  <si>
    <t>t5r</t>
  </si>
  <si>
    <t>tr5</t>
  </si>
  <si>
    <t>tr54</t>
  </si>
  <si>
    <t>gfrd</t>
  </si>
  <si>
    <t>gvfrd</t>
  </si>
  <si>
    <t>frd</t>
  </si>
  <si>
    <t>frde</t>
  </si>
  <si>
    <t>bgvfd</t>
  </si>
  <si>
    <t>gvf</t>
  </si>
  <si>
    <t>acho</t>
  </si>
  <si>
    <t>nbhgtf</t>
  </si>
  <si>
    <t>nhbg</t>
  </si>
  <si>
    <t>bgvf</t>
  </si>
  <si>
    <t>gvfr</t>
  </si>
  <si>
    <t>njbhg</t>
  </si>
  <si>
    <t>hgy</t>
  </si>
  <si>
    <t>gytr</t>
  </si>
  <si>
    <t>tttr</t>
  </si>
  <si>
    <t>gt5r</t>
  </si>
  <si>
    <t xml:space="preserve">acho </t>
  </si>
  <si>
    <t>nbhg</t>
  </si>
  <si>
    <t>hbg</t>
  </si>
  <si>
    <t>hgtfr</t>
  </si>
  <si>
    <t>g</t>
  </si>
  <si>
    <t>nbg</t>
  </si>
  <si>
    <t>bg</t>
  </si>
  <si>
    <t>njhbg</t>
  </si>
  <si>
    <t>njhgyt</t>
  </si>
  <si>
    <t>njhgy</t>
  </si>
  <si>
    <t>hyg</t>
  </si>
  <si>
    <t>vou</t>
  </si>
  <si>
    <t>tfr</t>
  </si>
  <si>
    <t>ftr</t>
  </si>
  <si>
    <t>tfre4</t>
  </si>
  <si>
    <t>r4e</t>
  </si>
  <si>
    <t>ghtf</t>
  </si>
  <si>
    <t>hbgtf</t>
  </si>
  <si>
    <t>sue</t>
  </si>
  <si>
    <t>samuel</t>
  </si>
  <si>
    <t>fgrrgwf</t>
  </si>
  <si>
    <t>grfwfqe</t>
  </si>
  <si>
    <t>gtfrgtfrgv</t>
  </si>
  <si>
    <t>grefr</t>
  </si>
  <si>
    <t>trfgt</t>
  </si>
  <si>
    <t>ge</t>
  </si>
  <si>
    <t>refrgt4ref</t>
  </si>
  <si>
    <t>fgtref</t>
  </si>
  <si>
    <t>thgrfvgt</t>
  </si>
  <si>
    <t>fd</t>
  </si>
  <si>
    <t>yafue</t>
  </si>
  <si>
    <t>vfd</t>
  </si>
  <si>
    <t>fdrf</t>
  </si>
  <si>
    <t>gvfvgfcd</t>
  </si>
  <si>
    <t>gfre</t>
  </si>
  <si>
    <t>gftrd</t>
  </si>
  <si>
    <t>gftrg</t>
  </si>
  <si>
    <t>villa</t>
  </si>
  <si>
    <t>Ejemplo</t>
  </si>
  <si>
    <t>ni idea</t>
  </si>
  <si>
    <t>bien</t>
  </si>
  <si>
    <t>cm</t>
  </si>
  <si>
    <t>abdbdbd</t>
  </si>
  <si>
    <t>ddssef</t>
  </si>
  <si>
    <t>gredfr</t>
  </si>
  <si>
    <t>kg</t>
  </si>
  <si>
    <t xml:space="preserve">motor de algo </t>
  </si>
  <si>
    <t>jhgfres</t>
  </si>
  <si>
    <t>gtrfgtr3</t>
  </si>
  <si>
    <t>mt</t>
  </si>
  <si>
    <t>1232435ew</t>
  </si>
  <si>
    <t>planta energia</t>
  </si>
  <si>
    <t>frdf</t>
  </si>
  <si>
    <t>gtrfcvgfgtft</t>
  </si>
  <si>
    <t>gtfrftr</t>
  </si>
  <si>
    <t>3tf</t>
  </si>
  <si>
    <t>gtfrd</t>
  </si>
  <si>
    <t>grdf</t>
  </si>
  <si>
    <t>OC-01-EJEMPLO</t>
  </si>
  <si>
    <t>DFWFWE</t>
  </si>
  <si>
    <t>DFDSFSDFDS</t>
  </si>
  <si>
    <t>EFDWEFFFE</t>
  </si>
  <si>
    <t>EFEFWEFEWF</t>
  </si>
  <si>
    <t>07/05/2025</t>
  </si>
  <si>
    <t>AJCH</t>
  </si>
  <si>
    <t>BEARINGS_TRANSMISSION_COLOMBIA</t>
  </si>
  <si>
    <t>njhgyt5r43</t>
  </si>
  <si>
    <t>bvgfcdes</t>
  </si>
  <si>
    <t>GRUPO_MAYA_VELÁSQUEZ_S.A.S_(POWER</t>
  </si>
  <si>
    <t>hgytfr</t>
  </si>
  <si>
    <t>hgytfre</t>
  </si>
  <si>
    <t>ALBA_LUCIA_ARIAS_CORRALES</t>
  </si>
  <si>
    <t>fde</t>
  </si>
  <si>
    <t>6-AUTOMEX</t>
  </si>
  <si>
    <t>1-AQUATRECE</t>
  </si>
  <si>
    <t>3-CONSORCIO_INDUSTRIAL_S.A</t>
  </si>
  <si>
    <t>4-AQUATRECE</t>
  </si>
  <si>
    <t>3-ABB_COLOMBIA_LTDA</t>
  </si>
  <si>
    <t>1-HIDRAULICA_INDUSTRIAL_Y_METALMECANICA_S.A.S</t>
  </si>
  <si>
    <t>2-HIDRAULICA_INDUSTRIAL_Y_METALMECANICA_S.A.S</t>
  </si>
  <si>
    <t>Número de Orden</t>
  </si>
  <si>
    <t>Contacto</t>
  </si>
  <si>
    <t>Correo Contacto</t>
  </si>
  <si>
    <t>Fecha de Orden (D/M/A)</t>
  </si>
  <si>
    <t>Entregar a (Principal)</t>
  </si>
  <si>
    <t>Entregar a (Alterno)</t>
  </si>
  <si>
    <t>Condiciones de Pago</t>
  </si>
  <si>
    <t>Observaciones</t>
  </si>
  <si>
    <t>Descuento</t>
  </si>
  <si>
    <t>proveedor</t>
  </si>
  <si>
    <t>yo</t>
  </si>
  <si>
    <t>sisas@gmail.com</t>
  </si>
  <si>
    <t>23/06/2024</t>
  </si>
  <si>
    <t>dolarsiño</t>
  </si>
  <si>
    <t>el borra</t>
  </si>
  <si>
    <t>ps a mi mano</t>
  </si>
  <si>
    <t>a teo</t>
  </si>
  <si>
    <t>ps plata mano plata</t>
  </si>
  <si>
    <t>t34y5r</t>
  </si>
  <si>
    <t>34tdg</t>
  </si>
  <si>
    <t>434t3</t>
  </si>
  <si>
    <t>4t43y34t</t>
  </si>
  <si>
    <t>4t4334</t>
  </si>
  <si>
    <t>34t43</t>
  </si>
  <si>
    <t>43t34tg34</t>
  </si>
  <si>
    <t>34tg43</t>
  </si>
  <si>
    <t>wewewrfef</t>
  </si>
  <si>
    <t>erererere</t>
  </si>
  <si>
    <t>reree</t>
  </si>
  <si>
    <t>efefefef</t>
  </si>
  <si>
    <t>ererr</t>
  </si>
  <si>
    <t>ereeg</t>
  </si>
  <si>
    <t>3r3r3ew</t>
  </si>
  <si>
    <t>23e3r3ew</t>
  </si>
  <si>
    <t>e3e3r3</t>
  </si>
  <si>
    <t>3r3r2eweww</t>
  </si>
  <si>
    <t>ewe3rwewee3</t>
  </si>
  <si>
    <t>e3r3r3f</t>
  </si>
  <si>
    <t>f3f3f3f</t>
  </si>
  <si>
    <t>3rw</t>
  </si>
  <si>
    <t>wewew</t>
  </si>
  <si>
    <t>wrefe</t>
  </si>
  <si>
    <t>fefs</t>
  </si>
  <si>
    <t>dwrwe</t>
  </si>
  <si>
    <t>wfrw</t>
  </si>
  <si>
    <t>wfwd</t>
  </si>
  <si>
    <t>wdfw</t>
  </si>
  <si>
    <t>wdfe</t>
  </si>
  <si>
    <t>fweewffe</t>
  </si>
  <si>
    <t>efwfewfe</t>
  </si>
  <si>
    <t>ewew</t>
  </si>
  <si>
    <t>weew</t>
  </si>
  <si>
    <t>ewfffff</t>
  </si>
  <si>
    <t>ffffffffffwe</t>
  </si>
  <si>
    <t>ew</t>
  </si>
  <si>
    <t>ewrefds</t>
  </si>
  <si>
    <t>sgetrs</t>
  </si>
  <si>
    <t>gdsfd</t>
  </si>
  <si>
    <t>feegxx</t>
  </si>
  <si>
    <t>egerfg</t>
  </si>
  <si>
    <t>getfdf</t>
  </si>
  <si>
    <t>gegegwf</t>
  </si>
  <si>
    <t>getdfge</t>
  </si>
  <si>
    <t>rfrftgrtr</t>
  </si>
  <si>
    <t>trrgfr</t>
  </si>
  <si>
    <t>grgrtrfr</t>
  </si>
  <si>
    <t>frfrgrtr</t>
  </si>
  <si>
    <t>trrgrtrtr</t>
  </si>
  <si>
    <t>tgrhtrr</t>
  </si>
  <si>
    <t>grgftgr</t>
  </si>
  <si>
    <t>grgbt</t>
  </si>
  <si>
    <t>fgh</t>
  </si>
  <si>
    <t>tgh</t>
  </si>
  <si>
    <t>gtyh</t>
  </si>
  <si>
    <t>hy</t>
  </si>
  <si>
    <t>juhy6</t>
  </si>
  <si>
    <t>ergr</t>
  </si>
  <si>
    <t>ergf</t>
  </si>
  <si>
    <t>ersg</t>
  </si>
  <si>
    <t>tgfrd</t>
  </si>
  <si>
    <t>rsg</t>
  </si>
  <si>
    <t>wsd</t>
  </si>
  <si>
    <t>wsgr</t>
  </si>
  <si>
    <t>frrf</t>
  </si>
  <si>
    <t>bybnju</t>
  </si>
  <si>
    <t>ybytg</t>
  </si>
  <si>
    <t>tgtg</t>
  </si>
  <si>
    <t>ijuhy</t>
  </si>
  <si>
    <t>uyjh</t>
  </si>
  <si>
    <t>yun</t>
  </si>
  <si>
    <t>uny</t>
  </si>
  <si>
    <t>yunyb</t>
  </si>
  <si>
    <t>vbg</t>
  </si>
  <si>
    <t>bgrd</t>
  </si>
  <si>
    <t>tgfdgre</t>
  </si>
  <si>
    <t>gdfvtgf</t>
  </si>
  <si>
    <t>efvbtg</t>
  </si>
  <si>
    <t>trvfbggrf</t>
  </si>
  <si>
    <t>gvbtgr</t>
  </si>
  <si>
    <t>rfdg</t>
  </si>
  <si>
    <t>trgtrg</t>
  </si>
  <si>
    <t>rvgbtg</t>
  </si>
  <si>
    <t>grfvtb</t>
  </si>
  <si>
    <t>ghrt</t>
  </si>
  <si>
    <t>fght</t>
  </si>
  <si>
    <t>fgtgfd</t>
  </si>
  <si>
    <t>hthgf</t>
  </si>
  <si>
    <t>gtff</t>
  </si>
  <si>
    <t>gfh</t>
  </si>
  <si>
    <t>thgf</t>
  </si>
  <si>
    <t>trg</t>
  </si>
  <si>
    <t>hrytg</t>
  </si>
  <si>
    <t>rfgtgt</t>
  </si>
  <si>
    <t>grh</t>
  </si>
  <si>
    <t>grg</t>
  </si>
  <si>
    <t>gfhtf</t>
  </si>
  <si>
    <t>tdht</t>
  </si>
  <si>
    <t>tevi</t>
  </si>
  <si>
    <t>emis</t>
  </si>
  <si>
    <t>rrg</t>
  </si>
  <si>
    <t>yo amno</t>
  </si>
  <si>
    <t>sisas@emmail.com</t>
  </si>
  <si>
    <t>ayer mano</t>
  </si>
  <si>
    <t>peso</t>
  </si>
  <si>
    <t>tito</t>
  </si>
  <si>
    <t>lepre</t>
  </si>
  <si>
    <t>plata mano</t>
  </si>
  <si>
    <t>Ojo mano que esos manes roban mucho ojo mano pero de resto parchate</t>
  </si>
  <si>
    <t>des</t>
  </si>
  <si>
    <t>redwre</t>
  </si>
  <si>
    <t>efrfe</t>
  </si>
  <si>
    <t>llanito</t>
  </si>
  <si>
    <t>elborra@gmail.com</t>
  </si>
  <si>
    <t>r4323r</t>
  </si>
  <si>
    <t>fbgbteg</t>
  </si>
  <si>
    <t>ryetbgr</t>
  </si>
  <si>
    <t>rytbr</t>
  </si>
  <si>
    <t>ntrbt</t>
  </si>
  <si>
    <t>rybtv</t>
  </si>
  <si>
    <t>rbt</t>
  </si>
  <si>
    <t>r43</t>
  </si>
  <si>
    <t>2r42</t>
  </si>
  <si>
    <t>35w4grer</t>
  </si>
  <si>
    <t>35gr3</t>
  </si>
  <si>
    <t>34wgr4</t>
  </si>
  <si>
    <t>34egew43</t>
  </si>
  <si>
    <t>34wgee4</t>
  </si>
  <si>
    <t>34eg4</t>
  </si>
  <si>
    <t>oe dios te bendiga ojala esta monda se printee bien gvon</t>
  </si>
  <si>
    <t>rggrg</t>
  </si>
  <si>
    <t>rgg</t>
  </si>
  <si>
    <t>rgrg</t>
  </si>
  <si>
    <t>hynum</t>
  </si>
  <si>
    <t>uj</t>
  </si>
  <si>
    <t>7jy</t>
  </si>
  <si>
    <t>7jyjy</t>
  </si>
  <si>
    <t>oe easere je ja eje ejere triki tribi nitiribi triri</t>
  </si>
  <si>
    <t>43rr</t>
  </si>
  <si>
    <t>35rf4</t>
  </si>
  <si>
    <t>r4fe</t>
  </si>
  <si>
    <t>trefrg</t>
  </si>
  <si>
    <t>rgrfr</t>
  </si>
  <si>
    <t>rgtrdf</t>
  </si>
  <si>
    <t>mano por amor a jesucristo de nazareth manoo porfa</t>
  </si>
  <si>
    <t>ya va omemomeomeomeoemoemomoemoemoemeoemoemeomoemeome</t>
  </si>
  <si>
    <t>ya va oemoemeomeomeomeoemoemeomeoemeomeoemoemeomeoemeoemoeomeome</t>
  </si>
  <si>
    <t>fewfew</t>
  </si>
  <si>
    <t>bgrttb</t>
  </si>
  <si>
    <t>cass</t>
  </si>
  <si>
    <t>asdew</t>
  </si>
  <si>
    <t>tgft</t>
  </si>
  <si>
    <t>gtgf</t>
  </si>
  <si>
    <t>btrerg</t>
  </si>
  <si>
    <t>rggfecvg</t>
  </si>
  <si>
    <t>ya mano mano mano mano mano mano mano mano</t>
  </si>
  <si>
    <t>revtr</t>
  </si>
  <si>
    <t>gerrdf</t>
  </si>
  <si>
    <t>rvfdsv</t>
  </si>
  <si>
    <t>regrev</t>
  </si>
  <si>
    <t>ervregf</t>
  </si>
  <si>
    <t>grefrv</t>
  </si>
  <si>
    <t>ergrerg</t>
  </si>
  <si>
    <t>rfdvfr</t>
  </si>
  <si>
    <t>ya mano eeeehg</t>
  </si>
  <si>
    <t>tava</t>
  </si>
  <si>
    <t>sisa</t>
  </si>
  <si>
    <t>grr3</t>
  </si>
  <si>
    <t>brvfdc</t>
  </si>
  <si>
    <t>3gfeds</t>
  </si>
  <si>
    <t>4efdr</t>
  </si>
  <si>
    <t>ef4dr</t>
  </si>
  <si>
    <t>efrg</t>
  </si>
  <si>
    <t>ya va mano ya mismo si sae yayayaya</t>
  </si>
  <si>
    <t>estasi</t>
  </si>
  <si>
    <t>ersdf</t>
  </si>
  <si>
    <t>ersv</t>
  </si>
  <si>
    <t>srdv</t>
  </si>
  <si>
    <t>ersdc</t>
  </si>
  <si>
    <t>rgvdf</t>
  </si>
  <si>
    <t>ya si dio que chimba mano aaah q chimba</t>
  </si>
  <si>
    <t>rgds</t>
  </si>
  <si>
    <t>btfger</t>
  </si>
  <si>
    <t>htbeg</t>
  </si>
  <si>
    <t>tbegr</t>
  </si>
  <si>
    <t>tehgr</t>
  </si>
  <si>
    <t>parce dios ya porfa mano haceme el fa parce</t>
  </si>
  <si>
    <t>ya dio mano se lo prometo man o si sae</t>
  </si>
  <si>
    <t>aca se va a imprimir esa monda</t>
  </si>
  <si>
    <t>aca va esa monda323</t>
  </si>
  <si>
    <t>ey pichando y dando palos como ohtani</t>
  </si>
  <si>
    <t>qcaja</t>
  </si>
  <si>
    <t>pegao en la calle y tiktoktok</t>
  </si>
  <si>
    <t>pa q fume fuem pa q beba beab</t>
  </si>
  <si>
    <t>darling</t>
  </si>
  <si>
    <t>are meant to beee take myy heartrrte</t>
  </si>
  <si>
    <t>tengo salda la cuenta ma de 50 diamante en mi cuello</t>
  </si>
  <si>
    <t>su baby adoran mi tema como coachella</t>
  </si>
  <si>
    <t>sigo sigo aqui volvi d nuevo pero como q voliv</t>
  </si>
  <si>
    <t>cha mano no la verdad que duro estar aca cuando me llega un cheque siempre pienso en ttiiiiii</t>
  </si>
  <si>
    <t>no te faltaria nada gira sole toa la madrugada lluvia es dulce en tu ventana con tu ojo quiero toa mi manada si estuviese ahi</t>
  </si>
  <si>
    <t>yo@yo.yo</t>
  </si>
  <si>
    <t>usd</t>
  </si>
  <si>
    <t>tomi</t>
  </si>
  <si>
    <t>plata</t>
  </si>
  <si>
    <t>jhergfbgdnthegrwefd</t>
  </si>
  <si>
    <t>hrdtg</t>
  </si>
  <si>
    <t>rthdg</t>
  </si>
  <si>
    <t>rhdgt</t>
  </si>
  <si>
    <t>trhdg</t>
  </si>
  <si>
    <t>trhd</t>
  </si>
  <si>
    <t>thdrf</t>
  </si>
  <si>
    <t>tdrh</t>
  </si>
  <si>
    <t>ththrhtrth</t>
  </si>
  <si>
    <t>sg</t>
  </si>
  <si>
    <t>rgsf</t>
  </si>
  <si>
    <t>grs</t>
  </si>
  <si>
    <t>rseg</t>
  </si>
  <si>
    <t>rgs</t>
  </si>
  <si>
    <t>llanos@gmail.com</t>
  </si>
  <si>
    <t>htrfvbh</t>
  </si>
  <si>
    <t>hgfvbh</t>
  </si>
  <si>
    <t>htfvbh</t>
  </si>
  <si>
    <t>htrfvbhytrd</t>
  </si>
  <si>
    <t>yhtgr</t>
  </si>
  <si>
    <t>yhtg</t>
  </si>
  <si>
    <t>yhtg5r</t>
  </si>
  <si>
    <t>hgtfvbhgt</t>
  </si>
  <si>
    <t>hgfvbgt</t>
  </si>
  <si>
    <t>hgfbg</t>
  </si>
  <si>
    <t>hgfbhgg</t>
  </si>
  <si>
    <t>rfgtrf</t>
  </si>
  <si>
    <t>trdfgtr</t>
  </si>
  <si>
    <t>trfgtr</t>
  </si>
  <si>
    <t>gtrfv</t>
  </si>
  <si>
    <t>trfg</t>
  </si>
  <si>
    <t>rfgt</t>
  </si>
  <si>
    <t>gerfdvdbg@grtghyj.com</t>
  </si>
  <si>
    <t>grfdgdt</t>
  </si>
  <si>
    <t>rhtgdf</t>
  </si>
  <si>
    <t>hrtgfvbg</t>
  </si>
  <si>
    <t>ryhtgefdv</t>
  </si>
  <si>
    <t>rhtger</t>
  </si>
  <si>
    <t>trhger</t>
  </si>
  <si>
    <t>trhge</t>
  </si>
  <si>
    <t>tgerf</t>
  </si>
  <si>
    <t>ryhtg</t>
  </si>
  <si>
    <t>yrhtg</t>
  </si>
  <si>
    <t>rthg</t>
  </si>
  <si>
    <t>rht</t>
  </si>
  <si>
    <t>yrht</t>
  </si>
  <si>
    <t>jyh6</t>
  </si>
  <si>
    <t>jyrth</t>
  </si>
  <si>
    <t>rhgt5</t>
  </si>
  <si>
    <t>jh6yt5</t>
  </si>
  <si>
    <t>bnhg</t>
  </si>
  <si>
    <t>gg5e</t>
  </si>
  <si>
    <t>h4e5te</t>
  </si>
  <si>
    <t>45h</t>
  </si>
  <si>
    <t>rhe54</t>
  </si>
  <si>
    <t>erh54</t>
  </si>
  <si>
    <t>54hre54r</t>
  </si>
  <si>
    <t>bhgtfbhgtfghgytrfgbhgt</t>
  </si>
  <si>
    <t>trfgtrfghytrfgytrfgt5rfgytrfgy</t>
  </si>
  <si>
    <t>jhyt</t>
  </si>
  <si>
    <t>hyt6</t>
  </si>
  <si>
    <t>yt6</t>
  </si>
  <si>
    <t>llanos@llano.com</t>
  </si>
  <si>
    <t>suplindustria</t>
  </si>
  <si>
    <t>mi</t>
  </si>
  <si>
    <t>nadie</t>
  </si>
  <si>
    <t>nada la verdad</t>
  </si>
  <si>
    <t>gfrgfr</t>
  </si>
  <si>
    <t>fre</t>
  </si>
  <si>
    <t>gfrde</t>
  </si>
  <si>
    <t>llano@gmail.com</t>
  </si>
  <si>
    <t>camilo</t>
  </si>
  <si>
    <t>efectivo</t>
  </si>
  <si>
    <t>nada</t>
  </si>
  <si>
    <t>SAMUEL</t>
  </si>
  <si>
    <t>jcamilopll@gmail.com</t>
  </si>
  <si>
    <t>06/05/2025</t>
  </si>
  <si>
    <t>pesos</t>
  </si>
  <si>
    <t>anni carmona</t>
  </si>
  <si>
    <t>trasegar</t>
  </si>
  <si>
    <t>trasegar 2</t>
  </si>
  <si>
    <t>30 días</t>
  </si>
  <si>
    <t>ninguna</t>
  </si>
  <si>
    <t>ninguno</t>
  </si>
  <si>
    <t>Y6G6YGY6G6G</t>
  </si>
  <si>
    <t>G6YGY6GY6G6YGY6</t>
  </si>
  <si>
    <t>YG6YGY6GY6G</t>
  </si>
  <si>
    <t>Y6GYG6YGY6</t>
  </si>
  <si>
    <t>G6YG6YGY6</t>
  </si>
  <si>
    <t>GY6GY6GY6GY6</t>
  </si>
  <si>
    <t>GY6G6YG6YGY6G</t>
  </si>
  <si>
    <t>GY6GYGYY6</t>
  </si>
  <si>
    <t>6YGY6GY6GY6</t>
  </si>
  <si>
    <t>6GY6G6Y</t>
  </si>
  <si>
    <t>30f</t>
  </si>
  <si>
    <t>GRUPO MAYA VELÁSQUEZ S.A.S  (POWER</t>
  </si>
  <si>
    <t>dfresdf</t>
  </si>
  <si>
    <t>con</t>
  </si>
  <si>
    <t>corr</t>
  </si>
  <si>
    <t>m</t>
  </si>
  <si>
    <t>comp</t>
  </si>
  <si>
    <t>enp</t>
  </si>
  <si>
    <t>ena</t>
  </si>
  <si>
    <t>pag</t>
  </si>
  <si>
    <t>obs</t>
  </si>
  <si>
    <t>desc</t>
  </si>
  <si>
    <t>CONSORCIO INDUSTRIAL S.A</t>
  </si>
  <si>
    <t>fbgredwq</t>
  </si>
  <si>
    <t>c</t>
  </si>
  <si>
    <t>cc</t>
  </si>
  <si>
    <t>ccc</t>
  </si>
  <si>
    <t>e</t>
  </si>
  <si>
    <t>ea</t>
  </si>
  <si>
    <t>cccc</t>
  </si>
  <si>
    <t>o</t>
  </si>
  <si>
    <t>d</t>
  </si>
  <si>
    <t>REGAL BELOIT DE MEXICO</t>
  </si>
  <si>
    <t>gettwefdvbdgn</t>
  </si>
  <si>
    <t>cr</t>
  </si>
  <si>
    <t>com</t>
  </si>
  <si>
    <t>ep</t>
  </si>
  <si>
    <t>cp</t>
  </si>
  <si>
    <t>ABB COLOMBIA LTDA</t>
  </si>
  <si>
    <t>dhgfhgf</t>
  </si>
  <si>
    <t>gfd</t>
  </si>
  <si>
    <t>ta</t>
  </si>
  <si>
    <t>da</t>
  </si>
  <si>
    <t>mun</t>
  </si>
  <si>
    <t>bby</t>
  </si>
  <si>
    <t>sol</t>
  </si>
  <si>
    <t>seg</t>
  </si>
  <si>
    <t>bb</t>
  </si>
  <si>
    <t>nasa</t>
  </si>
  <si>
    <t>ced</t>
  </si>
  <si>
    <t>tred</t>
  </si>
  <si>
    <t>gre</t>
  </si>
  <si>
    <t>ys vaa</t>
  </si>
  <si>
    <t>hjui9o0'</t>
  </si>
  <si>
    <t>ALMACEN BOMBAS S.A</t>
  </si>
  <si>
    <t>{</t>
  </si>
  <si>
    <t>NIDEC CORPORATION</t>
  </si>
  <si>
    <t>BEARINGS TRANSMISSION COLOMBIA</t>
  </si>
  <si>
    <t>+</t>
  </si>
  <si>
    <t>ghtredws</t>
  </si>
  <si>
    <t>ALBA LUCIA ARIAS CORRALES</t>
  </si>
  <si>
    <t>fdsdc</t>
  </si>
  <si>
    <t>GENERACION Y MAQUINARIA SAS</t>
  </si>
  <si>
    <t>grew</t>
  </si>
  <si>
    <t>gvfd</t>
  </si>
  <si>
    <t>gtfre</t>
  </si>
  <si>
    <t>gft</t>
  </si>
  <si>
    <t>HIDRAULICA INDUSTRIAL Y METALMECANICA S.A.S</t>
  </si>
  <si>
    <t>hgytre</t>
  </si>
  <si>
    <t>gtrdfgt</t>
  </si>
  <si>
    <t>hgtr</t>
  </si>
  <si>
    <t>gtrd</t>
  </si>
  <si>
    <t>gtrfg</t>
  </si>
  <si>
    <t>hgtrfg</t>
  </si>
  <si>
    <t>hgtrfvbh</t>
  </si>
  <si>
    <t>bgfr</t>
  </si>
  <si>
    <t>bhgftr</t>
  </si>
  <si>
    <t>GENERACION_Y_MAQUINARIA SAS</t>
  </si>
  <si>
    <t>ALMACEN_BOMBAS S.A</t>
  </si>
  <si>
    <t xml:space="preserve">Proveedor: </t>
  </si>
  <si>
    <t xml:space="preserve">NIT/CC: </t>
  </si>
  <si>
    <t xml:space="preserve">Ciudad: </t>
  </si>
  <si>
    <t>Dirección: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</si>
</sst>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&quot;$&quot;* #,##0_);_(&quot;$&quot;* \(#,##0\);_(&quot;$&quot;* &quot;-&quot;??_);_(@_)"/>
    <numFmt numFmtId="165" formatCode="dd/mm/yyyy"/>
    <numFmt numFmtId="166" formatCode="_-[$$-409]* #,##0_ ;_-[$$-409]* \-#,##0\ ;_-[$$-409]* &quot;-&quot;_ ;_-@_ "/>
    <numFmt numFmtId="167" formatCode="_(&quot;$&quot;* #,##0.00_);_(&quot;$&quot;* \(#,##0.00\);_(&quot;$&quot;* &quot;-&quot;_);_(@_)"/>
    <numFmt numFmtId="168" formatCode="_(&quot;$&quot;* #,##0.00_);_(&quot;$&quot;* \(#,##0.00\);_(&quot;$&quot;* &quot;-&quot;??_);_(@_)"/>
    <numFmt numFmtId="169" formatCode="_(&quot;$&quot;* #,##0_);_(&quot;$&quot;* \(#,##0\);_(&quot;$&quot;* &quot;-&quot;_);_(@_)"/>
    <numFmt numFmtId="170" formatCode="m/d/yyyy\ h:mm:ss"/>
  </numFmts>
  <fonts count="12">
    <font>
      <sz val="10"/>
      <color rgb="FF000000"/>
      <name val="Arial"/>
      <scheme val="minor"/>
    </font>
    <font>
      <sz val="8"/>
      <color theme="1"/>
      <name val="Arial"/>
    </font>
    <font>
      <sz val="10"/>
      <color theme="1"/>
      <name val="Arial"/>
    </font>
    <font>
      <b/>
      <sz val="14"/>
      <color theme="1"/>
      <name val="Arial"/>
    </font>
    <font>
      <b/>
      <sz val="14"/>
      <color theme="1"/>
      <name val="Arial"/>
      <scheme val="minor"/>
    </font>
    <font>
      <b/>
      <sz val="10"/>
      <color theme="1"/>
      <name val="Arial"/>
    </font>
    <font>
      <sz val="10"/>
      <name val="Arial"/>
    </font>
    <font>
      <b/>
      <sz val="7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2"/>
      <color rgb="FF202124"/>
      <name val="Docs-Roboto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2" borderId="4" xfId="0" applyFont="1" applyFill="1" applyBorder="1" applyAlignment="1">
      <alignment horizontal="left"/>
    </xf>
    <xf numFmtId="0" fontId="8" fillId="2" borderId="22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165" fontId="2" fillId="0" borderId="24" xfId="0" applyNumberFormat="1" applyFont="1" applyBorder="1" applyAlignment="1">
      <alignment horizontal="center" vertical="center" wrapText="1"/>
    </xf>
    <xf numFmtId="166" fontId="2" fillId="0" borderId="2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9" fontId="10" fillId="0" borderId="0" xfId="0" applyNumberFormat="1" applyFont="1"/>
    <xf numFmtId="0" fontId="10" fillId="0" borderId="24" xfId="0" applyFont="1" applyBorder="1" applyAlignment="1">
      <alignment vertical="center"/>
    </xf>
    <xf numFmtId="0" fontId="10" fillId="0" borderId="24" xfId="0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6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168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/>
    <xf numFmtId="167" fontId="2" fillId="0" borderId="0" xfId="0" applyNumberFormat="1" applyFont="1" applyAlignment="1">
      <alignment horizontal="center"/>
    </xf>
    <xf numFmtId="0" fontId="2" fillId="0" borderId="0" xfId="0" applyFont="1" applyAlignment="1">
      <alignment wrapText="1"/>
    </xf>
    <xf numFmtId="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5" fillId="0" borderId="0" xfId="0" applyFont="1" applyAlignment="1">
      <alignment horizontal="left" vertical="top" wrapText="1"/>
    </xf>
    <xf numFmtId="0" fontId="5" fillId="0" borderId="0" xfId="0" applyFont="1"/>
    <xf numFmtId="168" fontId="5" fillId="0" borderId="0" xfId="0" applyNumberFormat="1" applyFont="1"/>
    <xf numFmtId="164" fontId="5" fillId="0" borderId="0" xfId="0" applyNumberFormat="1" applyFont="1"/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170" fontId="10" fillId="0" borderId="0" xfId="0" applyNumberFormat="1" applyFont="1" applyAlignment="1">
      <alignment vertical="center"/>
    </xf>
    <xf numFmtId="0" fontId="10" fillId="0" borderId="0" xfId="0" quotePrefix="1" applyFont="1" applyAlignment="1">
      <alignment vertical="center"/>
    </xf>
    <xf numFmtId="0" fontId="11" fillId="3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0" fillId="0" borderId="0" xfId="0" applyFont="1"/>
    <xf numFmtId="0" fontId="5" fillId="2" borderId="1" xfId="0" applyFont="1" applyFill="1" applyBorder="1" applyAlignment="1">
      <alignment horizontal="left"/>
    </xf>
    <xf numFmtId="0" fontId="6" fillId="0" borderId="2" xfId="0" applyFont="1" applyBorder="1"/>
    <xf numFmtId="0" fontId="6" fillId="0" borderId="3" xfId="0" applyFont="1" applyBorder="1"/>
    <xf numFmtId="0" fontId="6" fillId="0" borderId="5" xfId="0" applyFont="1" applyBorder="1"/>
    <xf numFmtId="0" fontId="5" fillId="2" borderId="6" xfId="0" applyFont="1" applyFill="1" applyBorder="1" applyAlignment="1">
      <alignment horizontal="left"/>
    </xf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2" fillId="2" borderId="10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0" borderId="12" xfId="0" applyFont="1" applyBorder="1"/>
    <xf numFmtId="0" fontId="6" fillId="0" borderId="13" xfId="0" applyFont="1" applyBorder="1"/>
    <xf numFmtId="0" fontId="5" fillId="2" borderId="14" xfId="0" applyFont="1" applyFill="1" applyBorder="1" applyAlignment="1">
      <alignment horizontal="left"/>
    </xf>
    <xf numFmtId="0" fontId="6" fillId="0" borderId="15" xfId="0" applyFont="1" applyBorder="1"/>
    <xf numFmtId="3" fontId="7" fillId="2" borderId="16" xfId="0" applyNumberFormat="1" applyFont="1" applyFill="1" applyBorder="1" applyAlignment="1">
      <alignment horizontal="center" wrapText="1"/>
    </xf>
    <xf numFmtId="0" fontId="6" fillId="0" borderId="17" xfId="0" applyFont="1" applyBorder="1"/>
    <xf numFmtId="0" fontId="6" fillId="0" borderId="18" xfId="0" applyFont="1" applyBorder="1"/>
    <xf numFmtId="0" fontId="5" fillId="0" borderId="19" xfId="0" applyFont="1" applyBorder="1" applyAlignment="1">
      <alignment horizontal="center"/>
    </xf>
    <xf numFmtId="0" fontId="6" fillId="0" borderId="20" xfId="0" applyFont="1" applyBorder="1"/>
    <xf numFmtId="0" fontId="6" fillId="0" borderId="21" xfId="0" applyFont="1" applyBorder="1"/>
    <xf numFmtId="0" fontId="8" fillId="0" borderId="19" xfId="0" applyFont="1" applyBorder="1" applyAlignment="1">
      <alignment horizontal="center"/>
    </xf>
    <xf numFmtId="0" fontId="8" fillId="0" borderId="19" xfId="0" applyFont="1" applyBorder="1" applyAlignment="1">
      <alignment horizontal="left"/>
    </xf>
    <xf numFmtId="0" fontId="2" fillId="0" borderId="1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vertical="center"/>
    </xf>
    <xf numFmtId="169" fontId="2" fillId="0" borderId="0" xfId="0" applyNumberFormat="1" applyFont="1" applyAlignment="1">
      <alignment horizontal="center"/>
    </xf>
    <xf numFmtId="169" fontId="2" fillId="0" borderId="0" xfId="0" applyNumberFormat="1" applyFont="1" applyAlignment="1">
      <alignment horizontal="center" wrapText="1"/>
    </xf>
    <xf numFmtId="0" fontId="5" fillId="0" borderId="19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2" fillId="0" borderId="0" xfId="0" applyFont="1" applyAlignment="1">
      <alignment horizontal="center" wrapText="1"/>
    </xf>
  </cellXfs>
  <cellStyles count="1">
    <cellStyle name="Normal" xfId="0" builtinId="0"/>
  </cellStyles>
  <dxfs count="12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">
    <tableStyle name="info-style" pivot="0" count="4" xr9:uid="{00000000-0011-0000-FFFF-FFFF00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forms_productos-style" pivot="0" count="4" xr9:uid="{00000000-0011-0000-FFFF-FFFF01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forms-style" pivot="0" count="4" xr9:uid="{00000000-0011-0000-FFFF-FFFF02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0</xdr:rowOff>
    </xdr:from>
    <xdr:ext cx="1895475" cy="9239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B1:G13">
  <tableColumns count="6">
    <tableColumn id="1" xr3:uid="{00000000-0010-0000-0000-000001000000}" name="Número de Orden "/>
    <tableColumn id="2" xr3:uid="{00000000-0010-0000-0000-000002000000}" name="Proveedor"/>
    <tableColumn id="3" xr3:uid="{00000000-0010-0000-0000-000003000000}" name="NIT/CC"/>
    <tableColumn id="4" xr3:uid="{00000000-0010-0000-0000-000004000000}" name="Ciudad"/>
    <tableColumn id="5" xr3:uid="{00000000-0010-0000-0000-000005000000}" name="Dirección"/>
    <tableColumn id="6" xr3:uid="{00000000-0010-0000-0000-000006000000}" name="  Comprador  "/>
  </tableColumns>
  <tableStyleInfo name="info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orm_Responses2" displayName="Form_Responses2" ref="A1:O185">
  <tableColumns count="15">
    <tableColumn id="1" xr3:uid="{00000000-0010-0000-0100-000001000000}" name="Marca temporal"/>
    <tableColumn id="2" xr3:uid="{00000000-0010-0000-0100-000002000000}" name="Número de orden "/>
    <tableColumn id="3" xr3:uid="{00000000-0010-0000-0100-000003000000}" name="Item"/>
    <tableColumn id="4" xr3:uid="{00000000-0010-0000-0100-000004000000}" name="Catálogo"/>
    <tableColumn id="5" xr3:uid="{00000000-0010-0000-0100-000005000000}" name="Modelo "/>
    <tableColumn id="6" xr3:uid="{00000000-0010-0000-0100-000006000000}" name="Descripción "/>
    <tableColumn id="7" xr3:uid="{00000000-0010-0000-0100-000007000000}" name="Fecha de entrega "/>
    <tableColumn id="8" xr3:uid="{00000000-0010-0000-0100-000008000000}" name="  ¿IVA?  "/>
    <tableColumn id="9" xr3:uid="{00000000-0010-0000-0100-000009000000}" name="  Cantidad  "/>
    <tableColumn id="10" xr3:uid="{00000000-0010-0000-0100-00000A000000}" name="  Unidad de medida (UM)  "/>
    <tableColumn id="11" xr3:uid="{00000000-0010-0000-0100-00000B000000}" name="  Precio unitario  "/>
    <tableColumn id="12" xr3:uid="{00000000-0010-0000-0100-00000C000000}" name="%descuento"/>
    <tableColumn id="13" xr3:uid="{00000000-0010-0000-0100-00000D000000}" name="Valor total"/>
    <tableColumn id="14" xr3:uid="{00000000-0010-0000-0100-00000E000000}" name="  ¿Este es el último producto de la orden? "/>
    <tableColumn id="15" xr3:uid="{00000000-0010-0000-0100-00000F000000}" name="Proveedor"/>
  </tableColumns>
  <tableStyleInfo name="forms_producto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orm_Responses1" displayName="Form_Responses1" ref="A1:M189">
  <tableColumns count="13">
    <tableColumn id="1" xr3:uid="{00000000-0010-0000-0200-000001000000}" name="Marca temporal"/>
    <tableColumn id="2" xr3:uid="{00000000-0010-0000-0200-000002000000}" name="Número de Orden "/>
    <tableColumn id="3" xr3:uid="{00000000-0010-0000-0200-000003000000}" name="Contacto"/>
    <tableColumn id="4" xr3:uid="{00000000-0010-0000-0200-000004000000}" name="Correo Contacto"/>
    <tableColumn id="5" xr3:uid="{00000000-0010-0000-0200-000005000000}" name="Fecha de Orden (D/M/A)"/>
    <tableColumn id="6" xr3:uid="{00000000-0010-0000-0200-000006000000}" name="Moneda"/>
    <tableColumn id="7" xr3:uid="{00000000-0010-0000-0200-000007000000}" name="  Comprador  "/>
    <tableColumn id="8" xr3:uid="{00000000-0010-0000-0200-000008000000}" name="Entregar a (Principal)"/>
    <tableColumn id="9" xr3:uid="{00000000-0010-0000-0200-000009000000}" name="Entregar a (Alterno)"/>
    <tableColumn id="10" xr3:uid="{00000000-0010-0000-0200-00000A000000}" name="Condiciones de Pago"/>
    <tableColumn id="11" xr3:uid="{00000000-0010-0000-0200-00000B000000}" name="Observaciones"/>
    <tableColumn id="12" xr3:uid="{00000000-0010-0000-0200-00000C000000}" name="Descuento"/>
    <tableColumn id="13" xr3:uid="{00000000-0010-0000-0200-00000D000000}" name="proveedor"/>
  </tableColumns>
  <tableStyleInfo name="form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O1000"/>
  <sheetViews>
    <sheetView tabSelected="1" workbookViewId="0">
      <selection activeCell="B8" sqref="B8:G8"/>
    </sheetView>
  </sheetViews>
  <sheetFormatPr defaultColWidth="12.6640625" defaultRowHeight="15" customHeight="1"/>
  <cols>
    <col min="1" max="1" width="2.77734375" customWidth="1"/>
    <col min="2" max="3" width="5" customWidth="1"/>
    <col min="4" max="4" width="13.6640625" customWidth="1"/>
    <col min="5" max="5" width="32.77734375" customWidth="1"/>
    <col min="6" max="6" width="18" customWidth="1"/>
    <col min="7" max="7" width="25.44140625" customWidth="1"/>
    <col min="8" max="8" width="19" customWidth="1"/>
    <col min="9" max="9" width="5.6640625" customWidth="1"/>
    <col min="10" max="10" width="9.6640625" customWidth="1"/>
    <col min="11" max="11" width="6.77734375" customWidth="1"/>
    <col min="12" max="12" width="14.88671875" customWidth="1"/>
    <col min="13" max="13" width="18" customWidth="1"/>
    <col min="14" max="14" width="18.88671875" customWidth="1"/>
    <col min="15" max="26" width="10.6640625" customWidth="1"/>
  </cols>
  <sheetData>
    <row r="1" spans="2:14" ht="4.5" customHeight="1">
      <c r="M1" s="1"/>
    </row>
    <row r="2" spans="2:14" ht="12.75" customHeight="1"/>
    <row r="3" spans="2:14" ht="12.75" customHeight="1"/>
    <row r="4" spans="2:14" ht="12.75" customHeight="1"/>
    <row r="5" spans="2:14" ht="12.75" customHeight="1">
      <c r="L5" s="2"/>
    </row>
    <row r="6" spans="2:14" ht="12.75" customHeight="1">
      <c r="I6" s="3" t="str">
        <f>"ORDEN DE COMPRA No: "</f>
        <v xml:space="preserve">ORDEN DE COMPRA No: </v>
      </c>
      <c r="J6" s="3"/>
      <c r="K6" s="3"/>
      <c r="L6" s="3"/>
      <c r="M6" s="4"/>
    </row>
    <row r="7" spans="2:14" ht="6.75" customHeight="1"/>
    <row r="8" spans="2:14" ht="12.75" customHeight="1">
      <c r="B8" s="47" t="s">
        <v>1102</v>
      </c>
      <c r="C8" s="48"/>
      <c r="D8" s="48"/>
      <c r="E8" s="48"/>
      <c r="F8" s="48"/>
      <c r="G8" s="49"/>
      <c r="H8" s="5"/>
      <c r="J8" s="47" t="s">
        <v>0</v>
      </c>
      <c r="K8" s="48"/>
      <c r="L8" s="48"/>
      <c r="M8" s="48"/>
      <c r="N8" s="50"/>
    </row>
    <row r="9" spans="2:14" ht="12.75" customHeight="1">
      <c r="B9" s="51" t="s">
        <v>1103</v>
      </c>
      <c r="C9" s="52"/>
      <c r="D9" s="52"/>
      <c r="E9" s="52"/>
      <c r="F9" s="52"/>
      <c r="G9" s="52"/>
      <c r="H9" s="53"/>
      <c r="J9" s="51" t="s">
        <v>1</v>
      </c>
      <c r="K9" s="52"/>
      <c r="L9" s="52"/>
      <c r="M9" s="52"/>
      <c r="N9" s="53"/>
    </row>
    <row r="10" spans="2:14" ht="12.75" customHeight="1">
      <c r="B10" s="51" t="s">
        <v>1104</v>
      </c>
      <c r="C10" s="52"/>
      <c r="D10" s="52"/>
      <c r="E10" s="52"/>
      <c r="F10" s="52"/>
      <c r="G10" s="52"/>
      <c r="H10" s="53"/>
      <c r="J10" s="51" t="s">
        <v>2</v>
      </c>
      <c r="K10" s="52"/>
      <c r="L10" s="52"/>
      <c r="M10" s="52"/>
      <c r="N10" s="53"/>
    </row>
    <row r="11" spans="2:14" ht="12.75" customHeight="1">
      <c r="B11" s="51" t="s">
        <v>1105</v>
      </c>
      <c r="C11" s="52"/>
      <c r="D11" s="52"/>
      <c r="E11" s="52"/>
      <c r="F11" s="52"/>
      <c r="G11" s="52"/>
      <c r="H11" s="53"/>
      <c r="J11" s="51" t="s">
        <v>3</v>
      </c>
      <c r="K11" s="52"/>
      <c r="L11" s="52"/>
      <c r="M11" s="52"/>
      <c r="N11" s="53"/>
    </row>
    <row r="12" spans="2:14" ht="12.75" hidden="1" customHeight="1">
      <c r="B12" s="51" t="s">
        <v>4</v>
      </c>
      <c r="C12" s="52"/>
      <c r="D12" s="52"/>
      <c r="E12" s="52"/>
      <c r="F12" s="52"/>
      <c r="G12" s="52"/>
      <c r="H12" s="53"/>
      <c r="J12" s="51" t="s">
        <v>5</v>
      </c>
      <c r="K12" s="52"/>
      <c r="L12" s="54"/>
      <c r="M12" s="55" t="s">
        <v>6</v>
      </c>
      <c r="N12" s="53"/>
    </row>
    <row r="13" spans="2:14" ht="22.5" customHeight="1">
      <c r="B13" s="56" t="str">
        <f>"Contacto: " &amp; Instancia!C2</f>
        <v xml:space="preserve">Contacto: </v>
      </c>
      <c r="C13" s="57"/>
      <c r="D13" s="57"/>
      <c r="E13" s="58"/>
      <c r="F13" s="59"/>
      <c r="G13" s="57"/>
      <c r="H13" s="60"/>
      <c r="J13" s="61" t="s">
        <v>7</v>
      </c>
      <c r="K13" s="62"/>
      <c r="L13" s="62"/>
      <c r="M13" s="62"/>
      <c r="N13" s="63"/>
    </row>
    <row r="14" spans="2:14" ht="12.75" customHeight="1">
      <c r="B14" s="64" t="s">
        <v>8</v>
      </c>
      <c r="C14" s="65"/>
      <c r="D14" s="66"/>
      <c r="E14" s="67" t="s">
        <v>9</v>
      </c>
      <c r="F14" s="66"/>
      <c r="G14" s="67" t="s">
        <v>10</v>
      </c>
      <c r="H14" s="65"/>
      <c r="I14" s="66"/>
      <c r="J14" s="68" t="str">
        <f>"Entregar a Alterno: " &amp; Instancia!H2</f>
        <v xml:space="preserve">Entregar a Alterno: </v>
      </c>
      <c r="K14" s="65"/>
      <c r="L14" s="65"/>
      <c r="M14" s="65"/>
      <c r="N14" s="66"/>
    </row>
    <row r="15" spans="2:14" ht="12.75" customHeight="1">
      <c r="B15" s="69">
        <f>Instancia!E2</f>
        <v>0</v>
      </c>
      <c r="C15" s="65"/>
      <c r="D15" s="66"/>
      <c r="E15" s="69">
        <f>Instancia!F2</f>
        <v>0</v>
      </c>
      <c r="F15" s="66"/>
      <c r="G15" s="69" t="str">
        <f>Instancia!P2</f>
        <v>ANNI CARMONA</v>
      </c>
      <c r="H15" s="65"/>
      <c r="I15" s="66"/>
      <c r="J15" s="75" t="str">
        <f>"Entregar a: " &amp; Instancia!G2</f>
        <v xml:space="preserve">Entregar a: </v>
      </c>
      <c r="K15" s="65"/>
      <c r="L15" s="65"/>
      <c r="M15" s="65"/>
      <c r="N15" s="66"/>
    </row>
    <row r="16" spans="2:14" ht="12.75" customHeight="1">
      <c r="B16" s="76" t="str">
        <f>"Condiciones de pago: " &amp; Instancia!I2</f>
        <v xml:space="preserve">Condiciones de pago: </v>
      </c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6"/>
    </row>
    <row r="17" spans="2:15" ht="22.5" customHeight="1"/>
    <row r="18" spans="2:15" ht="24.75" customHeight="1">
      <c r="B18" s="6" t="s">
        <v>11</v>
      </c>
      <c r="C18" s="7"/>
      <c r="D18" s="7" t="s">
        <v>12</v>
      </c>
      <c r="E18" s="7" t="s">
        <v>13</v>
      </c>
      <c r="F18" s="7" t="s">
        <v>14</v>
      </c>
      <c r="G18" s="7" t="s">
        <v>15</v>
      </c>
      <c r="H18" s="7" t="s">
        <v>16</v>
      </c>
      <c r="I18" s="7" t="s">
        <v>17</v>
      </c>
      <c r="J18" s="7" t="s">
        <v>18</v>
      </c>
      <c r="K18" s="7" t="s">
        <v>19</v>
      </c>
      <c r="L18" s="7" t="s">
        <v>20</v>
      </c>
      <c r="M18" s="7" t="s">
        <v>21</v>
      </c>
      <c r="N18" s="7" t="s">
        <v>22</v>
      </c>
    </row>
    <row r="19" spans="2:15" ht="112.5" customHeight="1">
      <c r="B19" s="8">
        <v>1</v>
      </c>
      <c r="C19" s="8"/>
      <c r="D19" s="8"/>
      <c r="E19" s="8"/>
      <c r="F19" s="8"/>
      <c r="G19" s="9"/>
      <c r="H19" s="10"/>
      <c r="I19" s="8"/>
      <c r="J19" s="8"/>
      <c r="K19" s="8"/>
      <c r="L19" s="11"/>
      <c r="M19" s="8"/>
      <c r="N19" s="12">
        <v>0</v>
      </c>
    </row>
    <row r="20" spans="2:15" ht="112.5" customHeight="1">
      <c r="B20" s="8">
        <v>2</v>
      </c>
      <c r="C20" s="8"/>
      <c r="D20" s="8"/>
      <c r="E20" s="9"/>
      <c r="F20" s="8"/>
      <c r="G20" s="9"/>
      <c r="H20" s="9"/>
      <c r="I20" s="8"/>
      <c r="J20" s="8"/>
      <c r="K20" s="8"/>
      <c r="L20" s="11"/>
      <c r="M20" s="9"/>
      <c r="N20" s="13">
        <v>0</v>
      </c>
    </row>
    <row r="21" spans="2:15" ht="112.5" customHeight="1">
      <c r="B21" s="8">
        <v>3</v>
      </c>
      <c r="C21" s="8"/>
      <c r="D21" s="8"/>
      <c r="E21" s="14"/>
      <c r="F21" s="14"/>
      <c r="G21" s="14"/>
      <c r="H21" s="14"/>
      <c r="I21" s="14"/>
      <c r="J21" s="14"/>
      <c r="K21" s="14"/>
      <c r="L21" s="14"/>
      <c r="M21" s="14"/>
      <c r="N21" s="14">
        <v>0</v>
      </c>
    </row>
    <row r="22" spans="2:15" ht="112.5" customHeight="1">
      <c r="B22" s="8"/>
      <c r="C22" s="8"/>
      <c r="D22" s="8" t="s">
        <v>23</v>
      </c>
      <c r="E22" s="9" t="s">
        <v>24</v>
      </c>
      <c r="F22" s="8"/>
      <c r="G22" s="8" t="s">
        <v>25</v>
      </c>
      <c r="H22" s="8"/>
      <c r="I22" s="8"/>
      <c r="J22" s="8"/>
      <c r="K22" s="8"/>
      <c r="L22" s="8"/>
      <c r="M22" s="9" t="s">
        <v>26</v>
      </c>
      <c r="N22" s="9">
        <v>0</v>
      </c>
    </row>
    <row r="23" spans="2:15" ht="112.5" customHeight="1">
      <c r="B23" s="8"/>
      <c r="C23" s="8"/>
      <c r="D23" s="8"/>
      <c r="E23" s="9"/>
      <c r="F23" s="8"/>
      <c r="G23" s="9"/>
      <c r="H23" s="9"/>
      <c r="I23" s="8"/>
      <c r="J23" s="8"/>
      <c r="K23" s="8"/>
      <c r="L23" s="11"/>
      <c r="M23" s="9" t="s">
        <v>27</v>
      </c>
      <c r="N23" s="13">
        <v>0</v>
      </c>
      <c r="O23" s="15"/>
    </row>
    <row r="24" spans="2:15" ht="112.5" customHeight="1">
      <c r="B24" s="8"/>
      <c r="C24" s="8"/>
      <c r="D24" s="8"/>
      <c r="E24" s="9"/>
      <c r="F24" s="16"/>
      <c r="G24" s="16"/>
      <c r="H24" s="16"/>
      <c r="I24" s="16"/>
      <c r="J24" s="16"/>
      <c r="K24" s="16"/>
      <c r="L24" s="16"/>
      <c r="M24" s="17" t="s">
        <v>28</v>
      </c>
      <c r="N24" s="17">
        <v>0</v>
      </c>
    </row>
    <row r="25" spans="2:15" ht="112.5" customHeight="1">
      <c r="B25" s="18"/>
      <c r="C25" s="18"/>
      <c r="D25" s="18"/>
      <c r="E25" s="19"/>
      <c r="F25" s="18"/>
      <c r="G25" s="20"/>
      <c r="H25" s="19"/>
      <c r="I25" s="18"/>
      <c r="J25" s="18"/>
      <c r="K25" s="21"/>
      <c r="L25" s="22"/>
      <c r="M25" s="23"/>
      <c r="N25" s="24"/>
    </row>
    <row r="26" spans="2:15" ht="112.5" customHeight="1">
      <c r="B26" s="25"/>
      <c r="C26" s="25"/>
      <c r="D26" s="18"/>
      <c r="E26" s="19"/>
      <c r="F26" s="18"/>
      <c r="G26" s="19"/>
      <c r="H26" s="19"/>
      <c r="I26" s="18"/>
      <c r="J26" s="18"/>
      <c r="K26" s="21"/>
      <c r="L26" s="22"/>
      <c r="M26" s="23"/>
      <c r="N26" s="26"/>
    </row>
    <row r="27" spans="2:15" ht="112.5" customHeight="1">
      <c r="B27" s="25"/>
      <c r="C27" s="25"/>
      <c r="D27" s="25"/>
      <c r="E27" s="27"/>
      <c r="F27" s="25"/>
      <c r="G27" s="27"/>
      <c r="H27" s="27"/>
      <c r="I27" s="25"/>
      <c r="J27" s="18"/>
      <c r="K27" s="28"/>
      <c r="L27" s="29"/>
      <c r="M27" s="30"/>
      <c r="N27" s="31"/>
    </row>
    <row r="28" spans="2:15" ht="112.5" hidden="1" customHeight="1">
      <c r="B28" s="25"/>
      <c r="C28" s="25"/>
      <c r="D28" s="70"/>
      <c r="E28" s="70"/>
      <c r="F28" s="70"/>
      <c r="G28" s="77"/>
      <c r="H28" s="77"/>
      <c r="I28" s="70"/>
      <c r="J28" s="72"/>
      <c r="K28" s="28"/>
      <c r="L28" s="73"/>
      <c r="M28" s="30"/>
      <c r="N28" s="74"/>
    </row>
    <row r="29" spans="2:15" ht="112.5" hidden="1" customHeight="1">
      <c r="B29" s="25"/>
      <c r="C29" s="25"/>
      <c r="D29" s="71"/>
      <c r="E29" s="71"/>
      <c r="F29" s="71"/>
      <c r="G29" s="71"/>
      <c r="H29" s="71"/>
      <c r="I29" s="71"/>
      <c r="J29" s="71"/>
      <c r="K29" s="28"/>
      <c r="L29" s="71"/>
      <c r="M29" s="30"/>
      <c r="N29" s="71"/>
    </row>
    <row r="30" spans="2:15" ht="112.5" customHeight="1">
      <c r="B30" s="25"/>
      <c r="C30" s="25"/>
      <c r="D30" s="25"/>
      <c r="E30" s="25"/>
      <c r="F30" s="18"/>
      <c r="G30" s="27"/>
      <c r="H30" s="19"/>
      <c r="I30" s="25"/>
      <c r="J30" s="18"/>
      <c r="K30" s="28"/>
      <c r="L30" s="22"/>
      <c r="M30" s="28"/>
      <c r="N30" s="33"/>
    </row>
    <row r="31" spans="2:15" ht="112.5" customHeight="1">
      <c r="B31" s="25"/>
      <c r="C31" s="25"/>
      <c r="D31" s="25"/>
      <c r="E31" s="25"/>
      <c r="F31" s="18"/>
      <c r="G31" s="27"/>
      <c r="H31" s="19"/>
      <c r="I31" s="25"/>
      <c r="J31" s="18"/>
      <c r="K31" s="28"/>
      <c r="L31" s="22"/>
      <c r="M31" s="28"/>
      <c r="N31" s="33"/>
    </row>
    <row r="32" spans="2:15" ht="112.5" customHeight="1">
      <c r="B32" s="25"/>
      <c r="C32" s="25"/>
      <c r="D32" s="25"/>
      <c r="E32" s="25"/>
      <c r="F32" s="25"/>
      <c r="G32" s="27"/>
      <c r="H32" s="27"/>
      <c r="I32" s="25"/>
      <c r="J32" s="25"/>
      <c r="K32" s="28"/>
      <c r="L32" s="32"/>
      <c r="M32" s="28"/>
      <c r="N32" s="32"/>
    </row>
    <row r="33" spans="2:14" ht="112.5" customHeight="1">
      <c r="B33" s="27"/>
      <c r="C33" s="27"/>
      <c r="D33" s="25"/>
      <c r="E33" s="25"/>
      <c r="F33" s="25"/>
      <c r="G33" s="27"/>
      <c r="H33" s="27"/>
      <c r="I33" s="25"/>
      <c r="J33" s="25"/>
      <c r="K33" s="28"/>
      <c r="L33" s="32"/>
      <c r="M33" s="28"/>
      <c r="N33" s="32"/>
    </row>
    <row r="34" spans="2:14" ht="112.5" customHeight="1">
      <c r="B34" s="25"/>
      <c r="C34" s="25"/>
      <c r="D34" s="25"/>
      <c r="E34" s="25"/>
      <c r="F34" s="25"/>
      <c r="G34" s="27"/>
      <c r="H34" s="27"/>
      <c r="I34" s="25"/>
      <c r="J34" s="25"/>
      <c r="K34" s="28"/>
      <c r="L34" s="32"/>
      <c r="M34" s="28"/>
      <c r="N34" s="32"/>
    </row>
    <row r="35" spans="2:14" ht="112.5" customHeight="1">
      <c r="B35" s="27"/>
      <c r="C35" s="27"/>
      <c r="D35" s="25"/>
      <c r="E35" s="25"/>
      <c r="F35" s="25"/>
      <c r="G35" s="27"/>
      <c r="H35" s="27"/>
      <c r="I35" s="25"/>
      <c r="J35" s="25"/>
      <c r="K35" s="28"/>
      <c r="L35" s="32"/>
      <c r="M35" s="28"/>
      <c r="N35" s="32"/>
    </row>
    <row r="36" spans="2:14" ht="112.5" customHeight="1">
      <c r="B36" s="25"/>
      <c r="C36" s="25"/>
      <c r="D36" s="25"/>
      <c r="E36" s="25"/>
      <c r="F36" s="25"/>
      <c r="G36" s="27"/>
      <c r="H36" s="27"/>
      <c r="I36" s="25"/>
      <c r="J36" s="25"/>
      <c r="K36" s="28"/>
      <c r="L36" s="32"/>
      <c r="M36" s="28"/>
      <c r="N36" s="32"/>
    </row>
    <row r="37" spans="2:14" ht="112.5" customHeight="1">
      <c r="B37" s="25"/>
      <c r="C37" s="25"/>
      <c r="D37" s="25"/>
      <c r="E37" s="25"/>
      <c r="F37" s="25"/>
      <c r="G37" s="27"/>
      <c r="H37" s="27"/>
      <c r="I37" s="25"/>
      <c r="J37" s="25"/>
      <c r="K37" s="28"/>
      <c r="L37" s="34"/>
      <c r="M37" s="28"/>
      <c r="N37" s="32"/>
    </row>
    <row r="38" spans="2:14" ht="112.5" customHeight="1">
      <c r="B38" s="25"/>
      <c r="C38" s="25"/>
      <c r="D38" s="25"/>
      <c r="E38" s="25"/>
      <c r="F38" s="25"/>
      <c r="G38" s="27"/>
      <c r="H38" s="27"/>
      <c r="I38" s="25"/>
      <c r="J38" s="25"/>
      <c r="K38" s="28"/>
      <c r="L38" s="34"/>
      <c r="M38" s="28"/>
      <c r="N38" s="32"/>
    </row>
    <row r="39" spans="2:14" ht="112.5" customHeight="1">
      <c r="B39" s="25"/>
      <c r="C39" s="25"/>
      <c r="D39" s="25"/>
      <c r="E39" s="25"/>
      <c r="F39" s="25"/>
      <c r="G39" s="27"/>
      <c r="H39" s="27"/>
      <c r="I39" s="25"/>
      <c r="J39" s="25"/>
      <c r="K39" s="28"/>
      <c r="L39" s="34"/>
      <c r="M39" s="28"/>
      <c r="N39" s="35"/>
    </row>
    <row r="40" spans="2:14" ht="112.5" customHeight="1">
      <c r="B40" s="25"/>
      <c r="C40" s="25"/>
      <c r="D40" s="25"/>
      <c r="E40" s="25"/>
      <c r="F40" s="25"/>
      <c r="G40" s="27"/>
      <c r="H40" s="27"/>
      <c r="I40" s="25"/>
      <c r="J40" s="25"/>
      <c r="K40" s="28"/>
      <c r="L40" s="34"/>
      <c r="M40" s="28"/>
      <c r="N40" s="35"/>
    </row>
    <row r="41" spans="2:14" ht="112.5" customHeight="1">
      <c r="B41" s="25"/>
      <c r="C41" s="25"/>
      <c r="D41" s="25"/>
      <c r="E41" s="25"/>
      <c r="F41" s="25"/>
      <c r="G41" s="27"/>
      <c r="H41" s="27"/>
      <c r="I41" s="25"/>
      <c r="J41" s="25"/>
      <c r="K41" s="28"/>
      <c r="L41" s="34"/>
      <c r="M41" s="28"/>
      <c r="N41" s="35"/>
    </row>
    <row r="42" spans="2:14" ht="112.5" customHeight="1"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</row>
    <row r="43" spans="2:14" ht="112.5" customHeight="1">
      <c r="B43" s="36"/>
      <c r="C43" s="36"/>
      <c r="D43" s="36"/>
      <c r="E43" s="36"/>
      <c r="F43" s="36"/>
      <c r="G43" s="36"/>
      <c r="H43" s="28"/>
      <c r="I43" s="28"/>
      <c r="J43" s="28"/>
      <c r="K43" s="28"/>
      <c r="L43" s="37"/>
      <c r="M43" s="37"/>
      <c r="N43" s="38"/>
    </row>
    <row r="44" spans="2:14" ht="112.5" customHeight="1">
      <c r="B44" s="36"/>
      <c r="C44" s="36"/>
      <c r="D44" s="36"/>
      <c r="E44" s="36"/>
      <c r="F44" s="36"/>
      <c r="G44" s="36"/>
      <c r="H44" s="28"/>
      <c r="K44" s="28"/>
      <c r="L44" s="37"/>
      <c r="M44" s="37"/>
      <c r="N44" s="39"/>
    </row>
    <row r="45" spans="2:14" ht="112.5" customHeight="1">
      <c r="B45" s="36"/>
      <c r="C45" s="36"/>
      <c r="D45" s="36"/>
      <c r="E45" s="36"/>
      <c r="F45" s="36"/>
      <c r="G45" s="36"/>
      <c r="H45" s="28"/>
      <c r="I45" s="28"/>
      <c r="J45" s="28"/>
      <c r="K45" s="28"/>
      <c r="L45" s="37"/>
      <c r="M45" s="37"/>
      <c r="N45" s="39"/>
    </row>
    <row r="46" spans="2:14" ht="112.5" customHeight="1"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7"/>
      <c r="M46" s="37"/>
      <c r="N46" s="38"/>
    </row>
    <row r="47" spans="2:14" ht="112.5" customHeight="1"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7"/>
      <c r="M47" s="37"/>
      <c r="N47" s="37"/>
    </row>
    <row r="48" spans="2:14" ht="112.5" customHeight="1"/>
    <row r="49" ht="112.5" customHeight="1"/>
    <row r="50" ht="112.5" customHeight="1"/>
    <row r="51" ht="112.5" customHeight="1"/>
    <row r="52" ht="112.5" customHeight="1"/>
    <row r="53" ht="112.5" customHeight="1"/>
    <row r="54" ht="112.5" customHeight="1"/>
    <row r="55" ht="112.5" customHeight="1"/>
    <row r="56" ht="112.5" customHeight="1"/>
    <row r="57" ht="112.5" customHeight="1"/>
    <row r="58" ht="112.5" customHeight="1"/>
    <row r="59" ht="112.5" customHeight="1"/>
    <row r="60" ht="112.5" customHeight="1"/>
    <row r="61" ht="112.5" customHeight="1"/>
    <row r="62" ht="112.5" customHeight="1"/>
    <row r="63" ht="112.5" customHeight="1"/>
    <row r="64" ht="112.5" customHeight="1"/>
    <row r="65" ht="112.5" customHeight="1"/>
    <row r="66" ht="112.5" customHeight="1"/>
    <row r="67" ht="112.5" customHeight="1"/>
    <row r="68" ht="112.5" customHeight="1"/>
    <row r="69" ht="112.5" customHeight="1"/>
    <row r="70" ht="112.5" customHeight="1"/>
    <row r="71" ht="112.5" customHeight="1"/>
    <row r="72" ht="112.5" customHeight="1"/>
    <row r="73" ht="112.5" customHeight="1"/>
    <row r="74" ht="112.5" customHeight="1"/>
    <row r="75" ht="112.5" customHeight="1"/>
    <row r="76" ht="112.5" customHeight="1"/>
    <row r="77" ht="112.5" customHeight="1"/>
    <row r="78" ht="112.5" customHeight="1"/>
    <row r="79" ht="112.5" customHeight="1"/>
    <row r="80" ht="112.5" customHeight="1"/>
    <row r="81" ht="112.5" customHeight="1"/>
    <row r="82" ht="112.5" customHeight="1"/>
    <row r="83" ht="112.5" customHeight="1"/>
    <row r="84" ht="112.5" customHeight="1"/>
    <row r="85" ht="112.5" customHeight="1"/>
    <row r="86" ht="112.5" customHeight="1"/>
    <row r="87" ht="112.5" customHeight="1"/>
    <row r="88" ht="112.5" customHeight="1"/>
    <row r="89" ht="112.5" customHeight="1"/>
    <row r="90" ht="112.5" customHeight="1"/>
    <row r="91" ht="112.5" customHeight="1"/>
    <row r="92" ht="112.5" customHeight="1"/>
    <row r="93" ht="112.5" customHeight="1"/>
    <row r="94" ht="112.5" customHeight="1"/>
    <row r="95" ht="112.5" customHeight="1"/>
    <row r="96" ht="112.5" customHeight="1"/>
    <row r="97" ht="112.5" customHeight="1"/>
    <row r="98" ht="112.5" customHeight="1"/>
    <row r="99" ht="112.5" customHeight="1"/>
    <row r="100" ht="112.5" customHeight="1"/>
    <row r="101" ht="112.5" customHeight="1"/>
    <row r="102" ht="112.5" customHeight="1"/>
    <row r="103" ht="112.5" customHeight="1"/>
    <row r="104" ht="112.5" customHeight="1"/>
    <row r="105" ht="112.5" customHeight="1"/>
    <row r="106" ht="112.5" customHeight="1"/>
    <row r="107" ht="112.5" customHeight="1"/>
    <row r="108" ht="112.5" customHeight="1"/>
    <row r="109" ht="112.5" customHeight="1"/>
    <row r="110" ht="112.5" customHeight="1"/>
    <row r="111" ht="112.5" customHeight="1"/>
    <row r="112" ht="112.5" customHeight="1"/>
    <row r="113" ht="112.5" customHeight="1"/>
    <row r="114" ht="112.5" customHeight="1"/>
    <row r="115" ht="112.5" customHeight="1"/>
    <row r="116" ht="112.5" customHeight="1"/>
    <row r="117" ht="112.5" customHeight="1"/>
    <row r="118" ht="112.5" customHeight="1"/>
    <row r="119" ht="112.5" customHeight="1"/>
    <row r="120" ht="112.5" customHeight="1"/>
    <row r="121" ht="112.5" customHeight="1"/>
    <row r="122" ht="112.5" customHeight="1"/>
    <row r="123" ht="112.5" customHeight="1"/>
    <row r="124" ht="112.5" customHeight="1"/>
    <row r="125" ht="112.5" customHeight="1"/>
    <row r="126" ht="112.5" customHeight="1"/>
    <row r="127" ht="112.5" customHeight="1"/>
    <row r="128" ht="112.5" customHeight="1"/>
    <row r="129" ht="112.5" customHeight="1"/>
    <row r="130" ht="112.5" customHeight="1"/>
    <row r="131" ht="112.5" customHeight="1"/>
    <row r="132" ht="112.5" customHeight="1"/>
    <row r="133" ht="112.5" customHeight="1"/>
    <row r="134" ht="112.5" customHeight="1"/>
    <row r="135" ht="112.5" customHeight="1"/>
    <row r="136" ht="112.5" customHeight="1"/>
    <row r="137" ht="112.5" customHeight="1"/>
    <row r="138" ht="112.5" customHeight="1"/>
    <row r="139" ht="112.5" customHeight="1"/>
    <row r="140" ht="112.5" customHeight="1"/>
    <row r="141" ht="112.5" customHeight="1"/>
    <row r="142" ht="112.5" customHeight="1"/>
    <row r="143" ht="112.5" customHeight="1"/>
    <row r="144" ht="112.5" customHeight="1"/>
    <row r="145" ht="112.5" customHeight="1"/>
    <row r="146" ht="112.5" customHeight="1"/>
    <row r="147" ht="112.5" customHeight="1"/>
    <row r="148" ht="112.5" customHeight="1"/>
    <row r="149" ht="112.5" customHeight="1"/>
    <row r="150" ht="112.5" customHeight="1"/>
    <row r="151" ht="112.5" customHeight="1"/>
    <row r="152" ht="112.5" customHeight="1"/>
    <row r="153" ht="112.5" customHeight="1"/>
    <row r="154" ht="112.5" customHeight="1"/>
    <row r="155" ht="112.5" customHeight="1"/>
    <row r="156" ht="112.5" customHeight="1"/>
    <row r="157" ht="112.5" customHeight="1"/>
    <row r="158" ht="112.5" customHeight="1"/>
    <row r="159" ht="112.5" customHeight="1"/>
    <row r="160" ht="112.5" customHeight="1"/>
    <row r="161" ht="112.5" customHeight="1"/>
    <row r="162" ht="112.5" customHeight="1"/>
    <row r="163" ht="112.5" customHeight="1"/>
    <row r="164" ht="112.5" customHeight="1"/>
    <row r="165" ht="112.5" customHeight="1"/>
    <row r="166" ht="112.5" customHeight="1"/>
    <row r="167" ht="112.5" customHeight="1"/>
    <row r="168" ht="112.5" customHeight="1"/>
    <row r="169" ht="112.5" customHeight="1"/>
    <row r="170" ht="112.5" customHeight="1"/>
    <row r="171" ht="112.5" customHeight="1"/>
    <row r="172" ht="112.5" customHeight="1"/>
    <row r="173" ht="112.5" customHeight="1"/>
    <row r="174" ht="112.5" customHeight="1"/>
    <row r="175" ht="112.5" customHeight="1"/>
    <row r="176" ht="112.5" customHeight="1"/>
    <row r="177" ht="112.5" customHeight="1"/>
    <row r="178" ht="112.5" customHeight="1"/>
    <row r="179" ht="112.5" customHeight="1"/>
    <row r="180" ht="112.5" customHeight="1"/>
    <row r="181" ht="112.5" customHeight="1"/>
    <row r="182" ht="112.5" customHeight="1"/>
    <row r="183" ht="112.5" customHeight="1"/>
    <row r="184" ht="112.5" customHeight="1"/>
    <row r="185" ht="112.5" customHeight="1"/>
    <row r="186" ht="112.5" customHeight="1"/>
    <row r="187" ht="112.5" customHeight="1"/>
    <row r="188" ht="112.5" customHeight="1"/>
    <row r="189" ht="112.5" customHeight="1"/>
    <row r="190" ht="112.5" customHeight="1"/>
    <row r="191" ht="112.5" customHeight="1"/>
    <row r="192" ht="112.5" customHeight="1"/>
    <row r="193" ht="112.5" customHeight="1"/>
    <row r="194" ht="112.5" customHeight="1"/>
    <row r="195" ht="112.5" customHeight="1"/>
    <row r="196" ht="112.5" customHeight="1"/>
    <row r="197" ht="112.5" customHeight="1"/>
    <row r="198" ht="112.5" customHeight="1"/>
    <row r="199" ht="112.5" customHeight="1"/>
    <row r="200" ht="112.5" customHeight="1"/>
    <row r="201" ht="112.5" customHeight="1"/>
    <row r="202" ht="112.5" customHeight="1"/>
    <row r="203" ht="112.5" customHeight="1"/>
    <row r="204" ht="112.5" customHeight="1"/>
    <row r="205" ht="112.5" customHeight="1"/>
    <row r="206" ht="112.5" customHeight="1"/>
    <row r="207" ht="112.5" customHeight="1"/>
    <row r="208" ht="112.5" customHeight="1"/>
    <row r="209" ht="112.5" customHeight="1"/>
    <row r="210" ht="112.5" customHeight="1"/>
    <row r="211" ht="112.5" customHeight="1"/>
    <row r="212" ht="112.5" customHeight="1"/>
    <row r="213" ht="112.5" customHeight="1"/>
    <row r="214" ht="112.5" customHeight="1"/>
    <row r="215" ht="112.5" customHeight="1"/>
    <row r="216" ht="112.5" customHeight="1"/>
    <row r="217" ht="112.5" customHeight="1"/>
    <row r="218" ht="112.5" customHeight="1"/>
    <row r="219" ht="112.5" customHeight="1"/>
    <row r="220" ht="112.5" customHeight="1"/>
    <row r="221" ht="112.5" customHeight="1"/>
    <row r="222" ht="112.5" customHeight="1"/>
    <row r="223" ht="112.5" customHeight="1"/>
    <row r="224" ht="112.5" customHeight="1"/>
    <row r="225" ht="112.5" customHeight="1"/>
    <row r="226" ht="112.5" customHeight="1"/>
    <row r="227" ht="112.5" customHeight="1"/>
    <row r="228" ht="112.5" customHeight="1"/>
    <row r="229" ht="112.5" customHeight="1"/>
    <row r="230" ht="112.5" customHeight="1"/>
    <row r="231" ht="112.5" customHeight="1"/>
    <row r="232" ht="112.5" customHeight="1"/>
    <row r="233" ht="112.5" customHeight="1"/>
    <row r="234" ht="112.5" customHeight="1"/>
    <row r="235" ht="112.5" customHeight="1"/>
    <row r="236" ht="112.5" customHeight="1"/>
    <row r="237" ht="112.5" customHeight="1"/>
    <row r="238" ht="112.5" customHeight="1"/>
    <row r="239" ht="112.5" customHeight="1"/>
    <row r="240" ht="112.5" customHeight="1"/>
    <row r="241" ht="112.5" customHeight="1"/>
    <row r="242" ht="112.5" customHeight="1"/>
    <row r="243" ht="112.5" customHeight="1"/>
    <row r="244" ht="112.5" customHeight="1"/>
    <row r="245" ht="112.5" customHeight="1"/>
    <row r="246" ht="112.5" customHeight="1"/>
    <row r="247" ht="112.5" customHeight="1"/>
    <row r="248" ht="112.5" customHeight="1"/>
    <row r="249" ht="112.5" customHeight="1"/>
    <row r="250" ht="112.5" customHeight="1"/>
    <row r="251" ht="112.5" customHeight="1"/>
    <row r="252" ht="112.5" customHeight="1"/>
    <row r="253" ht="112.5" customHeight="1"/>
    <row r="254" ht="112.5" customHeight="1"/>
    <row r="255" ht="112.5" customHeight="1"/>
    <row r="256" ht="112.5" customHeight="1"/>
    <row r="257" ht="112.5" customHeight="1"/>
    <row r="258" ht="112.5" customHeight="1"/>
    <row r="259" ht="112.5" customHeight="1"/>
    <row r="260" ht="112.5" customHeight="1"/>
    <row r="261" ht="112.5" customHeight="1"/>
    <row r="262" ht="112.5" customHeight="1"/>
    <row r="263" ht="112.5" customHeight="1"/>
    <row r="264" ht="112.5" customHeight="1"/>
    <row r="265" ht="112.5" customHeight="1"/>
    <row r="266" ht="112.5" customHeight="1"/>
    <row r="267" ht="112.5" customHeight="1"/>
    <row r="268" ht="112.5" customHeight="1"/>
    <row r="269" ht="112.5" customHeight="1"/>
    <row r="270" ht="112.5" customHeight="1"/>
    <row r="271" ht="112.5" customHeight="1"/>
    <row r="272" ht="112.5" customHeight="1"/>
    <row r="273" ht="112.5" customHeight="1"/>
    <row r="274" ht="112.5" customHeight="1"/>
    <row r="275" ht="112.5" customHeight="1"/>
    <row r="276" ht="112.5" customHeight="1"/>
    <row r="277" ht="112.5" customHeight="1"/>
    <row r="278" ht="112.5" customHeight="1"/>
    <row r="279" ht="112.5" customHeight="1"/>
    <row r="280" ht="112.5" customHeight="1"/>
    <row r="281" ht="112.5" customHeight="1"/>
    <row r="282" ht="112.5" customHeight="1"/>
    <row r="283" ht="112.5" customHeight="1"/>
    <row r="284" ht="112.5" customHeight="1"/>
    <row r="285" ht="112.5" customHeight="1"/>
    <row r="286" ht="112.5" customHeight="1"/>
    <row r="287" ht="112.5" customHeight="1"/>
    <row r="288" ht="112.5" customHeight="1"/>
    <row r="289" ht="112.5" customHeight="1"/>
    <row r="290" ht="112.5" customHeight="1"/>
    <row r="291" ht="112.5" customHeight="1"/>
    <row r="292" ht="112.5" customHeight="1"/>
    <row r="293" ht="112.5" customHeight="1"/>
    <row r="294" ht="112.5" customHeight="1"/>
    <row r="295" ht="112.5" customHeight="1"/>
    <row r="296" ht="112.5" customHeight="1"/>
    <row r="297" ht="112.5" customHeight="1"/>
    <row r="298" ht="112.5" customHeight="1"/>
    <row r="299" ht="112.5" customHeight="1"/>
    <row r="300" ht="112.5" customHeight="1"/>
    <row r="301" ht="112.5" customHeight="1"/>
    <row r="302" ht="112.5" customHeight="1"/>
    <row r="303" ht="112.5" customHeight="1"/>
    <row r="304" ht="112.5" customHeight="1"/>
    <row r="305" ht="112.5" customHeight="1"/>
    <row r="306" ht="112.5" customHeight="1"/>
    <row r="307" ht="112.5" customHeight="1"/>
    <row r="308" ht="112.5" customHeight="1"/>
    <row r="309" ht="112.5" customHeight="1"/>
    <row r="310" ht="112.5" customHeight="1"/>
    <row r="311" ht="112.5" customHeight="1"/>
    <row r="312" ht="112.5" customHeight="1"/>
    <row r="313" ht="112.5" customHeight="1"/>
    <row r="314" ht="112.5" customHeight="1"/>
    <row r="315" ht="112.5" customHeight="1"/>
    <row r="316" ht="112.5" customHeight="1"/>
    <row r="317" ht="112.5" customHeight="1"/>
    <row r="318" ht="112.5" customHeight="1"/>
    <row r="319" ht="112.5" customHeight="1"/>
    <row r="320" ht="112.5" customHeight="1"/>
    <row r="321" ht="112.5" customHeight="1"/>
    <row r="322" ht="112.5" customHeight="1"/>
    <row r="323" ht="112.5" customHeight="1"/>
    <row r="324" ht="112.5" customHeight="1"/>
    <row r="325" ht="112.5" customHeight="1"/>
    <row r="326" ht="112.5" customHeight="1"/>
    <row r="327" ht="112.5" customHeight="1"/>
    <row r="328" ht="112.5" customHeight="1"/>
    <row r="329" ht="112.5" customHeight="1"/>
    <row r="330" ht="112.5" customHeight="1"/>
    <row r="331" ht="112.5" customHeight="1"/>
    <row r="332" ht="112.5" customHeight="1"/>
    <row r="333" ht="112.5" customHeight="1"/>
    <row r="334" ht="112.5" customHeight="1"/>
    <row r="335" ht="112.5" customHeight="1"/>
    <row r="336" ht="112.5" customHeight="1"/>
    <row r="337" ht="112.5" customHeight="1"/>
    <row r="338" ht="112.5" customHeight="1"/>
    <row r="339" ht="112.5" customHeight="1"/>
    <row r="340" ht="112.5" customHeight="1"/>
    <row r="341" ht="112.5" customHeight="1"/>
    <row r="342" ht="112.5" customHeight="1"/>
    <row r="343" ht="112.5" customHeight="1"/>
    <row r="344" ht="112.5" customHeight="1"/>
    <row r="345" ht="112.5" customHeight="1"/>
    <row r="346" ht="112.5" customHeight="1"/>
    <row r="347" ht="112.5" customHeight="1"/>
    <row r="348" ht="112.5" customHeight="1"/>
    <row r="349" ht="112.5" customHeight="1"/>
    <row r="350" ht="112.5" customHeight="1"/>
    <row r="351" ht="112.5" customHeight="1"/>
    <row r="352" ht="112.5" customHeight="1"/>
    <row r="353" ht="112.5" customHeight="1"/>
    <row r="354" ht="112.5" customHeight="1"/>
    <row r="355" ht="112.5" customHeight="1"/>
    <row r="356" ht="112.5" customHeight="1"/>
    <row r="357" ht="112.5" customHeight="1"/>
    <row r="358" ht="112.5" customHeight="1"/>
    <row r="359" ht="112.5" customHeight="1"/>
    <row r="360" ht="112.5" customHeight="1"/>
    <row r="361" ht="112.5" customHeight="1"/>
    <row r="362" ht="112.5" customHeight="1"/>
    <row r="363" ht="112.5" customHeight="1"/>
    <row r="364" ht="112.5" customHeight="1"/>
    <row r="365" ht="112.5" customHeight="1"/>
    <row r="366" ht="112.5" customHeight="1"/>
    <row r="367" ht="112.5" customHeight="1"/>
    <row r="368" ht="112.5" customHeight="1"/>
    <row r="369" ht="112.5" customHeight="1"/>
    <row r="370" ht="112.5" customHeight="1"/>
    <row r="371" ht="112.5" customHeight="1"/>
    <row r="372" ht="112.5" customHeight="1"/>
    <row r="373" ht="112.5" customHeight="1"/>
    <row r="374" ht="112.5" customHeight="1"/>
    <row r="375" ht="112.5" customHeight="1"/>
    <row r="376" ht="112.5" customHeight="1"/>
    <row r="377" ht="112.5" customHeight="1"/>
    <row r="378" ht="112.5" customHeight="1"/>
    <row r="379" ht="112.5" customHeight="1"/>
    <row r="380" ht="112.5" customHeight="1"/>
    <row r="381" ht="112.5" customHeight="1"/>
    <row r="382" ht="112.5" customHeight="1"/>
    <row r="383" ht="112.5" customHeight="1"/>
    <row r="384" ht="112.5" customHeight="1"/>
    <row r="385" ht="112.5" customHeight="1"/>
    <row r="386" ht="112.5" customHeight="1"/>
    <row r="387" ht="112.5" customHeight="1"/>
    <row r="388" ht="112.5" customHeight="1"/>
    <row r="389" ht="112.5" customHeight="1"/>
    <row r="390" ht="112.5" customHeight="1"/>
    <row r="391" ht="112.5" customHeight="1"/>
    <row r="392" ht="112.5" customHeight="1"/>
    <row r="393" ht="112.5" customHeight="1"/>
    <row r="394" ht="112.5" customHeight="1"/>
    <row r="395" ht="112.5" customHeight="1"/>
    <row r="396" ht="112.5" customHeight="1"/>
    <row r="397" ht="112.5" customHeight="1"/>
    <row r="398" ht="112.5" customHeight="1"/>
    <row r="399" ht="112.5" customHeight="1"/>
    <row r="400" ht="112.5" customHeight="1"/>
    <row r="401" ht="112.5" customHeight="1"/>
    <row r="402" ht="112.5" customHeight="1"/>
    <row r="403" ht="112.5" customHeight="1"/>
    <row r="404" ht="112.5" customHeight="1"/>
    <row r="405" ht="112.5" customHeight="1"/>
    <row r="406" ht="112.5" customHeight="1"/>
    <row r="407" ht="112.5" customHeight="1"/>
    <row r="408" ht="112.5" customHeight="1"/>
    <row r="409" ht="112.5" customHeight="1"/>
    <row r="410" ht="112.5" customHeight="1"/>
    <row r="411" ht="112.5" customHeight="1"/>
    <row r="412" ht="112.5" customHeight="1"/>
    <row r="413" ht="112.5" customHeight="1"/>
    <row r="414" ht="112.5" customHeight="1"/>
    <row r="415" ht="112.5" customHeight="1"/>
    <row r="416" ht="112.5" customHeight="1"/>
    <row r="417" ht="112.5" customHeight="1"/>
    <row r="418" ht="112.5" customHeight="1"/>
    <row r="419" ht="112.5" customHeight="1"/>
    <row r="420" ht="112.5" customHeight="1"/>
    <row r="421" ht="112.5" customHeight="1"/>
    <row r="422" ht="112.5" customHeight="1"/>
    <row r="423" ht="112.5" customHeight="1"/>
    <row r="424" ht="112.5" customHeight="1"/>
    <row r="425" ht="112.5" customHeight="1"/>
    <row r="426" ht="112.5" customHeight="1"/>
    <row r="427" ht="112.5" customHeight="1"/>
    <row r="428" ht="112.5" customHeight="1"/>
    <row r="429" ht="112.5" customHeight="1"/>
    <row r="430" ht="112.5" customHeight="1"/>
    <row r="431" ht="112.5" customHeight="1"/>
    <row r="432" ht="112.5" customHeight="1"/>
    <row r="433" ht="112.5" customHeight="1"/>
    <row r="434" ht="112.5" customHeight="1"/>
    <row r="435" ht="112.5" customHeight="1"/>
    <row r="436" ht="112.5" customHeight="1"/>
    <row r="437" ht="112.5" customHeight="1"/>
    <row r="438" ht="112.5" customHeight="1"/>
    <row r="439" ht="112.5" customHeight="1"/>
    <row r="440" ht="112.5" customHeight="1"/>
    <row r="441" ht="112.5" customHeight="1"/>
    <row r="442" ht="112.5" customHeight="1"/>
    <row r="443" ht="112.5" customHeight="1"/>
    <row r="444" ht="112.5" customHeight="1"/>
    <row r="445" ht="112.5" customHeight="1"/>
    <row r="446" ht="112.5" customHeight="1"/>
    <row r="447" ht="112.5" customHeight="1"/>
    <row r="448" ht="112.5" customHeight="1"/>
    <row r="449" ht="112.5" customHeight="1"/>
    <row r="450" ht="112.5" customHeight="1"/>
    <row r="451" ht="112.5" customHeight="1"/>
    <row r="452" ht="112.5" customHeight="1"/>
    <row r="453" ht="112.5" customHeight="1"/>
    <row r="454" ht="112.5" customHeight="1"/>
    <row r="455" ht="112.5" customHeight="1"/>
    <row r="456" ht="112.5" customHeight="1"/>
    <row r="457" ht="112.5" customHeight="1"/>
    <row r="458" ht="112.5" customHeight="1"/>
    <row r="459" ht="112.5" customHeight="1"/>
    <row r="460" ht="112.5" customHeight="1"/>
    <row r="461" ht="112.5" customHeight="1"/>
    <row r="462" ht="112.5" customHeight="1"/>
    <row r="463" ht="112.5" customHeight="1"/>
    <row r="464" ht="112.5" customHeight="1"/>
    <row r="465" ht="112.5" customHeight="1"/>
    <row r="466" ht="112.5" customHeight="1"/>
    <row r="467" ht="112.5" customHeight="1"/>
    <row r="468" ht="112.5" customHeight="1"/>
    <row r="469" ht="112.5" customHeight="1"/>
    <row r="470" ht="112.5" customHeight="1"/>
    <row r="471" ht="112.5" customHeight="1"/>
    <row r="472" ht="112.5" customHeight="1"/>
    <row r="473" ht="112.5" customHeight="1"/>
    <row r="474" ht="112.5" customHeight="1"/>
    <row r="475" ht="112.5" customHeight="1"/>
    <row r="476" ht="112.5" customHeight="1"/>
    <row r="477" ht="112.5" customHeight="1"/>
    <row r="478" ht="112.5" customHeight="1"/>
    <row r="479" ht="112.5" customHeight="1"/>
    <row r="480" ht="112.5" customHeight="1"/>
    <row r="481" ht="112.5" customHeight="1"/>
    <row r="482" ht="112.5" customHeight="1"/>
    <row r="483" ht="112.5" customHeight="1"/>
    <row r="484" ht="112.5" customHeight="1"/>
    <row r="485" ht="112.5" customHeight="1"/>
    <row r="486" ht="112.5" customHeight="1"/>
    <row r="487" ht="112.5" customHeight="1"/>
    <row r="488" ht="112.5" customHeight="1"/>
    <row r="489" ht="112.5" customHeight="1"/>
    <row r="490" ht="112.5" customHeight="1"/>
    <row r="491" ht="112.5" customHeight="1"/>
    <row r="492" ht="112.5" customHeight="1"/>
    <row r="493" ht="112.5" customHeight="1"/>
    <row r="494" ht="112.5" customHeight="1"/>
    <row r="495" ht="112.5" customHeight="1"/>
    <row r="496" ht="112.5" customHeight="1"/>
    <row r="497" ht="112.5" customHeight="1"/>
    <row r="498" ht="112.5" customHeight="1"/>
    <row r="499" ht="112.5" customHeight="1"/>
    <row r="500" ht="112.5" customHeight="1"/>
    <row r="501" ht="112.5" customHeight="1"/>
    <row r="502" ht="112.5" customHeight="1"/>
    <row r="503" ht="112.5" customHeight="1"/>
    <row r="504" ht="112.5" customHeight="1"/>
    <row r="505" ht="112.5" customHeight="1"/>
    <row r="506" ht="112.5" customHeight="1"/>
    <row r="507" ht="112.5" customHeight="1"/>
    <row r="508" ht="112.5" customHeight="1"/>
    <row r="509" ht="112.5" customHeight="1"/>
    <row r="510" ht="112.5" customHeight="1"/>
    <row r="511" ht="112.5" customHeight="1"/>
    <row r="512" ht="112.5" customHeight="1"/>
    <row r="513" ht="112.5" customHeight="1"/>
    <row r="514" ht="112.5" customHeight="1"/>
    <row r="515" ht="112.5" customHeight="1"/>
    <row r="516" ht="112.5" customHeight="1"/>
    <row r="517" ht="112.5" customHeight="1"/>
    <row r="518" ht="112.5" customHeight="1"/>
    <row r="519" ht="112.5" customHeight="1"/>
    <row r="520" ht="112.5" customHeight="1"/>
    <row r="521" ht="112.5" customHeight="1"/>
    <row r="522" ht="112.5" customHeight="1"/>
    <row r="523" ht="112.5" customHeight="1"/>
    <row r="524" ht="112.5" customHeight="1"/>
    <row r="525" ht="112.5" customHeight="1"/>
    <row r="526" ht="112.5" customHeight="1"/>
    <row r="527" ht="112.5" customHeight="1"/>
    <row r="528" ht="112.5" customHeight="1"/>
    <row r="529" ht="112.5" customHeight="1"/>
    <row r="530" ht="112.5" customHeight="1"/>
    <row r="531" ht="112.5" customHeight="1"/>
    <row r="532" ht="112.5" customHeight="1"/>
    <row r="533" ht="112.5" customHeight="1"/>
    <row r="534" ht="112.5" customHeight="1"/>
    <row r="535" ht="112.5" customHeight="1"/>
    <row r="536" ht="112.5" customHeight="1"/>
    <row r="537" ht="112.5" customHeight="1"/>
    <row r="538" ht="112.5" customHeight="1"/>
    <row r="539" ht="112.5" customHeight="1"/>
    <row r="540" ht="112.5" customHeight="1"/>
    <row r="541" ht="112.5" customHeight="1"/>
    <row r="542" ht="112.5" customHeight="1"/>
    <row r="543" ht="112.5" customHeight="1"/>
    <row r="544" ht="112.5" customHeight="1"/>
    <row r="545" ht="112.5" customHeight="1"/>
    <row r="546" ht="112.5" customHeight="1"/>
    <row r="547" ht="112.5" customHeight="1"/>
    <row r="548" ht="112.5" customHeight="1"/>
    <row r="549" ht="112.5" customHeight="1"/>
    <row r="550" ht="112.5" customHeight="1"/>
    <row r="551" ht="112.5" customHeight="1"/>
    <row r="552" ht="112.5" customHeight="1"/>
    <row r="553" ht="112.5" customHeight="1"/>
    <row r="554" ht="112.5" customHeight="1"/>
    <row r="555" ht="112.5" customHeight="1"/>
    <row r="556" ht="112.5" customHeight="1"/>
    <row r="557" ht="112.5" customHeight="1"/>
    <row r="558" ht="112.5" customHeight="1"/>
    <row r="559" ht="112.5" customHeight="1"/>
    <row r="560" ht="112.5" customHeight="1"/>
    <row r="561" ht="112.5" customHeight="1"/>
    <row r="562" ht="112.5" customHeight="1"/>
    <row r="563" ht="112.5" customHeight="1"/>
    <row r="564" ht="112.5" customHeight="1"/>
    <row r="565" ht="112.5" customHeight="1"/>
    <row r="566" ht="112.5" customHeight="1"/>
    <row r="567" ht="112.5" customHeight="1"/>
    <row r="568" ht="112.5" customHeight="1"/>
    <row r="569" ht="112.5" customHeight="1"/>
    <row r="570" ht="112.5" customHeight="1"/>
    <row r="571" ht="112.5" customHeight="1"/>
    <row r="572" ht="112.5" customHeight="1"/>
    <row r="573" ht="112.5" customHeight="1"/>
    <row r="574" ht="112.5" customHeight="1"/>
    <row r="575" ht="112.5" customHeight="1"/>
    <row r="576" ht="112.5" customHeight="1"/>
    <row r="577" ht="112.5" customHeight="1"/>
    <row r="578" ht="112.5" customHeight="1"/>
    <row r="579" ht="112.5" customHeight="1"/>
    <row r="580" ht="112.5" customHeight="1"/>
    <row r="581" ht="112.5" customHeight="1"/>
    <row r="582" ht="112.5" customHeight="1"/>
    <row r="583" ht="112.5" customHeight="1"/>
    <row r="584" ht="112.5" customHeight="1"/>
    <row r="585" ht="112.5" customHeight="1"/>
    <row r="586" ht="112.5" customHeight="1"/>
    <row r="587" ht="112.5" customHeight="1"/>
    <row r="588" ht="112.5" customHeight="1"/>
    <row r="589" ht="112.5" customHeight="1"/>
    <row r="590" ht="112.5" customHeight="1"/>
    <row r="591" ht="112.5" customHeight="1"/>
    <row r="592" ht="112.5" customHeight="1"/>
    <row r="593" ht="112.5" customHeight="1"/>
    <row r="594" ht="112.5" customHeight="1"/>
    <row r="595" ht="112.5" customHeight="1"/>
    <row r="596" ht="112.5" customHeight="1"/>
    <row r="597" ht="112.5" customHeight="1"/>
    <row r="598" ht="112.5" customHeight="1"/>
    <row r="599" ht="112.5" customHeight="1"/>
    <row r="600" ht="112.5" customHeight="1"/>
    <row r="601" ht="112.5" customHeight="1"/>
    <row r="602" ht="112.5" customHeight="1"/>
    <row r="603" ht="112.5" customHeight="1"/>
    <row r="604" ht="112.5" customHeight="1"/>
    <row r="605" ht="112.5" customHeight="1"/>
    <row r="606" ht="112.5" customHeight="1"/>
    <row r="607" ht="112.5" customHeight="1"/>
    <row r="608" ht="112.5" customHeight="1"/>
    <row r="609" ht="112.5" customHeight="1"/>
    <row r="610" ht="112.5" customHeight="1"/>
    <row r="611" ht="112.5" customHeight="1"/>
    <row r="612" ht="112.5" customHeight="1"/>
    <row r="613" ht="112.5" customHeight="1"/>
    <row r="614" ht="112.5" customHeight="1"/>
    <row r="615" ht="112.5" customHeight="1"/>
    <row r="616" ht="112.5" customHeight="1"/>
    <row r="617" ht="112.5" customHeight="1"/>
    <row r="618" ht="112.5" customHeight="1"/>
    <row r="619" ht="112.5" customHeight="1"/>
    <row r="620" ht="112.5" customHeight="1"/>
    <row r="621" ht="112.5" customHeight="1"/>
    <row r="622" ht="112.5" customHeight="1"/>
    <row r="623" ht="112.5" customHeight="1"/>
    <row r="624" ht="112.5" customHeight="1"/>
    <row r="625" ht="112.5" customHeight="1"/>
    <row r="626" ht="112.5" customHeight="1"/>
    <row r="627" ht="112.5" customHeight="1"/>
    <row r="628" ht="112.5" customHeight="1"/>
    <row r="629" ht="112.5" customHeight="1"/>
    <row r="630" ht="112.5" customHeight="1"/>
    <row r="631" ht="112.5" customHeight="1"/>
    <row r="632" ht="112.5" customHeight="1"/>
    <row r="633" ht="112.5" customHeight="1"/>
    <row r="634" ht="112.5" customHeight="1"/>
    <row r="635" ht="112.5" customHeight="1"/>
    <row r="636" ht="112.5" customHeight="1"/>
    <row r="637" ht="112.5" customHeight="1"/>
    <row r="638" ht="112.5" customHeight="1"/>
    <row r="639" ht="112.5" customHeight="1"/>
    <row r="640" ht="112.5" customHeight="1"/>
    <row r="641" ht="112.5" customHeight="1"/>
    <row r="642" ht="112.5" customHeight="1"/>
    <row r="643" ht="112.5" customHeight="1"/>
    <row r="644" ht="112.5" customHeight="1"/>
    <row r="645" ht="112.5" customHeight="1"/>
    <row r="646" ht="112.5" customHeight="1"/>
    <row r="647" ht="112.5" customHeight="1"/>
    <row r="648" ht="112.5" customHeight="1"/>
    <row r="649" ht="112.5" customHeight="1"/>
    <row r="650" ht="112.5" customHeight="1"/>
    <row r="651" ht="112.5" customHeight="1"/>
    <row r="652" ht="112.5" customHeight="1"/>
    <row r="653" ht="112.5" customHeight="1"/>
    <row r="654" ht="112.5" customHeight="1"/>
    <row r="655" ht="112.5" customHeight="1"/>
    <row r="656" ht="112.5" customHeight="1"/>
    <row r="657" ht="112.5" customHeight="1"/>
    <row r="658" ht="112.5" customHeight="1"/>
    <row r="659" ht="112.5" customHeight="1"/>
    <row r="660" ht="112.5" customHeight="1"/>
    <row r="661" ht="112.5" customHeight="1"/>
    <row r="662" ht="112.5" customHeight="1"/>
    <row r="663" ht="112.5" customHeight="1"/>
    <row r="664" ht="112.5" customHeight="1"/>
    <row r="665" ht="112.5" customHeight="1"/>
    <row r="666" ht="112.5" customHeight="1"/>
    <row r="667" ht="112.5" customHeight="1"/>
    <row r="668" ht="112.5" customHeight="1"/>
    <row r="669" ht="112.5" customHeight="1"/>
    <row r="670" ht="112.5" customHeight="1"/>
    <row r="671" ht="112.5" customHeight="1"/>
    <row r="672" ht="112.5" customHeight="1"/>
    <row r="673" ht="112.5" customHeight="1"/>
    <row r="674" ht="112.5" customHeight="1"/>
    <row r="675" ht="112.5" customHeight="1"/>
    <row r="676" ht="112.5" customHeight="1"/>
    <row r="677" ht="112.5" customHeight="1"/>
    <row r="678" ht="112.5" customHeight="1"/>
    <row r="679" ht="112.5" customHeight="1"/>
    <row r="680" ht="112.5" customHeight="1"/>
    <row r="681" ht="112.5" customHeight="1"/>
    <row r="682" ht="112.5" customHeight="1"/>
    <row r="683" ht="112.5" customHeight="1"/>
    <row r="684" ht="112.5" customHeight="1"/>
    <row r="685" ht="112.5" customHeight="1"/>
    <row r="686" ht="112.5" customHeight="1"/>
    <row r="687" ht="112.5" customHeight="1"/>
    <row r="688" ht="112.5" customHeight="1"/>
    <row r="689" ht="112.5" customHeight="1"/>
    <row r="690" ht="112.5" customHeight="1"/>
    <row r="691" ht="112.5" customHeight="1"/>
    <row r="692" ht="112.5" customHeight="1"/>
    <row r="693" ht="112.5" customHeight="1"/>
    <row r="694" ht="112.5" customHeight="1"/>
    <row r="695" ht="112.5" customHeight="1"/>
    <row r="696" ht="112.5" customHeight="1"/>
    <row r="697" ht="112.5" customHeight="1"/>
    <row r="698" ht="112.5" customHeight="1"/>
    <row r="699" ht="112.5" customHeight="1"/>
    <row r="700" ht="112.5" customHeight="1"/>
    <row r="701" ht="112.5" customHeight="1"/>
    <row r="702" ht="112.5" customHeight="1"/>
    <row r="703" ht="112.5" customHeight="1"/>
    <row r="704" ht="112.5" customHeight="1"/>
    <row r="705" ht="112.5" customHeight="1"/>
    <row r="706" ht="112.5" customHeight="1"/>
    <row r="707" ht="112.5" customHeight="1"/>
    <row r="708" ht="112.5" customHeight="1"/>
    <row r="709" ht="112.5" customHeight="1"/>
    <row r="710" ht="112.5" customHeight="1"/>
    <row r="711" ht="112.5" customHeight="1"/>
    <row r="712" ht="112.5" customHeight="1"/>
    <row r="713" ht="112.5" customHeight="1"/>
    <row r="714" ht="112.5" customHeight="1"/>
    <row r="715" ht="112.5" customHeight="1"/>
    <row r="716" ht="112.5" customHeight="1"/>
    <row r="717" ht="112.5" customHeight="1"/>
    <row r="718" ht="112.5" customHeight="1"/>
    <row r="719" ht="112.5" customHeight="1"/>
    <row r="720" ht="112.5" customHeight="1"/>
    <row r="721" ht="112.5" customHeight="1"/>
    <row r="722" ht="112.5" customHeight="1"/>
    <row r="723" ht="112.5" customHeight="1"/>
    <row r="724" ht="112.5" customHeight="1"/>
    <row r="725" ht="112.5" customHeight="1"/>
    <row r="726" ht="112.5" customHeight="1"/>
    <row r="727" ht="112.5" customHeight="1"/>
    <row r="728" ht="112.5" customHeight="1"/>
    <row r="729" ht="112.5" customHeight="1"/>
    <row r="730" ht="112.5" customHeight="1"/>
    <row r="731" ht="112.5" customHeight="1"/>
    <row r="732" ht="112.5" customHeight="1"/>
    <row r="733" ht="112.5" customHeight="1"/>
    <row r="734" ht="112.5" customHeight="1"/>
    <row r="735" ht="112.5" customHeight="1"/>
    <row r="736" ht="112.5" customHeight="1"/>
    <row r="737" ht="112.5" customHeight="1"/>
    <row r="738" ht="112.5" customHeight="1"/>
    <row r="739" ht="112.5" customHeight="1"/>
    <row r="740" ht="112.5" customHeight="1"/>
    <row r="741" ht="112.5" customHeight="1"/>
    <row r="742" ht="112.5" customHeight="1"/>
    <row r="743" ht="112.5" customHeight="1"/>
    <row r="744" ht="112.5" customHeight="1"/>
    <row r="745" ht="112.5" customHeight="1"/>
    <row r="746" ht="112.5" customHeight="1"/>
    <row r="747" ht="112.5" customHeight="1"/>
    <row r="748" ht="112.5" customHeight="1"/>
    <row r="749" ht="112.5" customHeight="1"/>
    <row r="750" ht="112.5" customHeight="1"/>
    <row r="751" ht="112.5" customHeight="1"/>
    <row r="752" ht="112.5" customHeight="1"/>
    <row r="753" ht="112.5" customHeight="1"/>
    <row r="754" ht="112.5" customHeight="1"/>
    <row r="755" ht="112.5" customHeight="1"/>
    <row r="756" ht="112.5" customHeight="1"/>
    <row r="757" ht="112.5" customHeight="1"/>
    <row r="758" ht="112.5" customHeight="1"/>
    <row r="759" ht="112.5" customHeight="1"/>
    <row r="760" ht="112.5" customHeight="1"/>
    <row r="761" ht="112.5" customHeight="1"/>
    <row r="762" ht="112.5" customHeight="1"/>
    <row r="763" ht="112.5" customHeight="1"/>
    <row r="764" ht="112.5" customHeight="1"/>
    <row r="765" ht="112.5" customHeight="1"/>
    <row r="766" ht="112.5" customHeight="1"/>
    <row r="767" ht="112.5" customHeight="1"/>
    <row r="768" ht="112.5" customHeight="1"/>
    <row r="769" ht="112.5" customHeight="1"/>
    <row r="770" ht="112.5" customHeight="1"/>
    <row r="771" ht="112.5" customHeight="1"/>
    <row r="772" ht="112.5" customHeight="1"/>
    <row r="773" ht="112.5" customHeight="1"/>
    <row r="774" ht="112.5" customHeight="1"/>
    <row r="775" ht="112.5" customHeight="1"/>
    <row r="776" ht="112.5" customHeight="1"/>
    <row r="777" ht="112.5" customHeight="1"/>
    <row r="778" ht="112.5" customHeight="1"/>
    <row r="779" ht="112.5" customHeight="1"/>
    <row r="780" ht="112.5" customHeight="1"/>
    <row r="781" ht="112.5" customHeight="1"/>
    <row r="782" ht="112.5" customHeight="1"/>
    <row r="783" ht="112.5" customHeight="1"/>
    <row r="784" ht="112.5" customHeight="1"/>
    <row r="785" ht="112.5" customHeight="1"/>
    <row r="786" ht="112.5" customHeight="1"/>
    <row r="787" ht="112.5" customHeight="1"/>
    <row r="788" ht="112.5" customHeight="1"/>
    <row r="789" ht="112.5" customHeight="1"/>
    <row r="790" ht="112.5" customHeight="1"/>
    <row r="791" ht="112.5" customHeight="1"/>
    <row r="792" ht="112.5" customHeight="1"/>
    <row r="793" ht="112.5" customHeight="1"/>
    <row r="794" ht="112.5" customHeight="1"/>
    <row r="795" ht="112.5" customHeight="1"/>
    <row r="796" ht="112.5" customHeight="1"/>
    <row r="797" ht="112.5" customHeight="1"/>
    <row r="798" ht="112.5" customHeight="1"/>
    <row r="799" ht="112.5" customHeight="1"/>
    <row r="800" ht="112.5" customHeight="1"/>
    <row r="801" ht="112.5" customHeight="1"/>
    <row r="802" ht="112.5" customHeight="1"/>
    <row r="803" ht="112.5" customHeight="1"/>
    <row r="804" ht="112.5" customHeight="1"/>
    <row r="805" ht="112.5" customHeight="1"/>
    <row r="806" ht="112.5" customHeight="1"/>
    <row r="807" ht="112.5" customHeight="1"/>
    <row r="808" ht="112.5" customHeight="1"/>
    <row r="809" ht="112.5" customHeight="1"/>
    <row r="810" ht="112.5" customHeight="1"/>
    <row r="811" ht="112.5" customHeight="1"/>
    <row r="812" ht="112.5" customHeight="1"/>
    <row r="813" ht="112.5" customHeight="1"/>
    <row r="814" ht="112.5" customHeight="1"/>
    <row r="815" ht="112.5" customHeight="1"/>
    <row r="816" ht="112.5" customHeight="1"/>
    <row r="817" ht="112.5" customHeight="1"/>
    <row r="818" ht="112.5" customHeight="1"/>
    <row r="819" ht="112.5" customHeight="1"/>
    <row r="820" ht="112.5" customHeight="1"/>
    <row r="821" ht="112.5" customHeight="1"/>
    <row r="822" ht="112.5" customHeight="1"/>
    <row r="823" ht="112.5" customHeight="1"/>
    <row r="824" ht="112.5" customHeight="1"/>
    <row r="825" ht="112.5" customHeight="1"/>
    <row r="826" ht="112.5" customHeight="1"/>
    <row r="827" ht="112.5" customHeight="1"/>
    <row r="828" ht="112.5" customHeight="1"/>
    <row r="829" ht="112.5" customHeight="1"/>
    <row r="830" ht="112.5" customHeight="1"/>
    <row r="831" ht="112.5" customHeight="1"/>
    <row r="832" ht="112.5" customHeight="1"/>
    <row r="833" ht="112.5" customHeight="1"/>
    <row r="834" ht="112.5" customHeight="1"/>
    <row r="835" ht="112.5" customHeight="1"/>
    <row r="836" ht="112.5" customHeight="1"/>
    <row r="837" ht="112.5" customHeight="1"/>
    <row r="838" ht="112.5" customHeight="1"/>
    <row r="839" ht="112.5" customHeight="1"/>
    <row r="840" ht="112.5" customHeight="1"/>
    <row r="841" ht="112.5" customHeight="1"/>
    <row r="842" ht="112.5" customHeight="1"/>
    <row r="843" ht="112.5" customHeight="1"/>
    <row r="844" ht="112.5" customHeight="1"/>
    <row r="845" ht="112.5" customHeight="1"/>
    <row r="846" ht="112.5" customHeight="1"/>
    <row r="847" ht="112.5" customHeight="1"/>
    <row r="848" ht="112.5" customHeight="1"/>
    <row r="849" ht="112.5" customHeight="1"/>
    <row r="850" ht="112.5" customHeight="1"/>
    <row r="851" ht="112.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2">
    <mergeCell ref="L28:L29"/>
    <mergeCell ref="N28:N29"/>
    <mergeCell ref="J15:N15"/>
    <mergeCell ref="B16:N16"/>
    <mergeCell ref="D28:D29"/>
    <mergeCell ref="E28:E29"/>
    <mergeCell ref="F28:F29"/>
    <mergeCell ref="G28:G29"/>
    <mergeCell ref="H28:H29"/>
    <mergeCell ref="B15:D15"/>
    <mergeCell ref="E15:F15"/>
    <mergeCell ref="G15:I15"/>
    <mergeCell ref="I28:I29"/>
    <mergeCell ref="J28:J29"/>
    <mergeCell ref="B13:E13"/>
    <mergeCell ref="F13:H13"/>
    <mergeCell ref="J13:N13"/>
    <mergeCell ref="B14:D14"/>
    <mergeCell ref="E14:F14"/>
    <mergeCell ref="G14:I14"/>
    <mergeCell ref="J14:N14"/>
    <mergeCell ref="J11:N11"/>
    <mergeCell ref="B11:H11"/>
    <mergeCell ref="B12:H12"/>
    <mergeCell ref="J12:L12"/>
    <mergeCell ref="M12:N12"/>
    <mergeCell ref="B8:G8"/>
    <mergeCell ref="J8:N8"/>
    <mergeCell ref="B9:H9"/>
    <mergeCell ref="J9:N9"/>
    <mergeCell ref="B10:H10"/>
    <mergeCell ref="J10:N10"/>
  </mergeCells>
  <printOptions horizontalCentered="1"/>
  <pageMargins left="0" right="0" top="0" bottom="0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G13"/>
  <sheetViews>
    <sheetView workbookViewId="0"/>
  </sheetViews>
  <sheetFormatPr defaultColWidth="12.6640625" defaultRowHeight="15" customHeight="1"/>
  <cols>
    <col min="2" max="2" width="16.88671875" customWidth="1"/>
    <col min="3" max="3" width="21" customWidth="1"/>
    <col min="5" max="5" width="16" customWidth="1"/>
    <col min="6" max="6" width="19.44140625" customWidth="1"/>
    <col min="7" max="7" width="14.6640625" customWidth="1"/>
  </cols>
  <sheetData>
    <row r="1" spans="2:7" ht="22.5" customHeight="1">
      <c r="B1" s="40" t="s">
        <v>29</v>
      </c>
      <c r="C1" s="40" t="s">
        <v>30</v>
      </c>
      <c r="D1" s="40" t="s">
        <v>31</v>
      </c>
      <c r="E1" s="40" t="s">
        <v>32</v>
      </c>
      <c r="F1" s="40" t="s">
        <v>33</v>
      </c>
      <c r="G1" s="40" t="s">
        <v>34</v>
      </c>
    </row>
    <row r="2" spans="2:7" ht="22.5" customHeight="1">
      <c r="B2" s="41">
        <v>0</v>
      </c>
      <c r="C2" s="41" t="s">
        <v>35</v>
      </c>
      <c r="D2" s="41" t="s">
        <v>36</v>
      </c>
      <c r="E2" s="41" t="s">
        <v>36</v>
      </c>
      <c r="F2" s="41" t="s">
        <v>36</v>
      </c>
      <c r="G2" s="41" t="s">
        <v>37</v>
      </c>
    </row>
    <row r="3" spans="2:7" ht="22.5" customHeight="1">
      <c r="B3" s="41">
        <v>0</v>
      </c>
      <c r="C3" s="41" t="s">
        <v>38</v>
      </c>
      <c r="D3" s="41" t="s">
        <v>39</v>
      </c>
      <c r="E3" s="41" t="s">
        <v>40</v>
      </c>
      <c r="F3" s="41" t="s">
        <v>41</v>
      </c>
      <c r="G3" s="41" t="s">
        <v>37</v>
      </c>
    </row>
    <row r="4" spans="2:7" ht="22.5" customHeight="1">
      <c r="B4" s="41">
        <v>0</v>
      </c>
      <c r="C4" s="41" t="s">
        <v>42</v>
      </c>
      <c r="D4" s="41" t="s">
        <v>43</v>
      </c>
      <c r="E4" s="41" t="s">
        <v>44</v>
      </c>
      <c r="F4" s="41" t="s">
        <v>45</v>
      </c>
      <c r="G4" s="41" t="s">
        <v>37</v>
      </c>
    </row>
    <row r="5" spans="2:7" ht="22.5" customHeight="1">
      <c r="B5" s="41">
        <v>0</v>
      </c>
      <c r="C5" s="41" t="s">
        <v>46</v>
      </c>
      <c r="D5" s="41" t="s">
        <v>47</v>
      </c>
      <c r="E5" s="41" t="s">
        <v>48</v>
      </c>
      <c r="F5" s="41" t="s">
        <v>49</v>
      </c>
      <c r="G5" s="41" t="s">
        <v>37</v>
      </c>
    </row>
    <row r="6" spans="2:7" ht="22.5" customHeight="1">
      <c r="B6" s="41">
        <v>0</v>
      </c>
      <c r="C6" s="41" t="s">
        <v>50</v>
      </c>
      <c r="D6" s="41" t="s">
        <v>51</v>
      </c>
      <c r="E6" s="41" t="s">
        <v>52</v>
      </c>
      <c r="F6" s="41" t="s">
        <v>53</v>
      </c>
      <c r="G6" s="41" t="s">
        <v>37</v>
      </c>
    </row>
    <row r="7" spans="2:7" ht="22.5" customHeight="1">
      <c r="B7" s="41">
        <v>0</v>
      </c>
      <c r="C7" s="41" t="s">
        <v>54</v>
      </c>
      <c r="D7" s="41">
        <v>43427138</v>
      </c>
      <c r="E7" s="41" t="s">
        <v>40</v>
      </c>
      <c r="F7" s="41" t="s">
        <v>55</v>
      </c>
      <c r="G7" s="41" t="s">
        <v>37</v>
      </c>
    </row>
    <row r="8" spans="2:7" ht="22.5" customHeight="1">
      <c r="B8" s="41">
        <v>0</v>
      </c>
      <c r="C8" s="41" t="s">
        <v>56</v>
      </c>
      <c r="D8" s="41" t="s">
        <v>57</v>
      </c>
      <c r="E8" s="41" t="s">
        <v>52</v>
      </c>
      <c r="F8" s="41" t="s">
        <v>58</v>
      </c>
      <c r="G8" s="41" t="s">
        <v>37</v>
      </c>
    </row>
    <row r="9" spans="2:7" ht="22.5" customHeight="1">
      <c r="B9" s="41">
        <v>0</v>
      </c>
      <c r="C9" s="41" t="s">
        <v>59</v>
      </c>
      <c r="D9" s="41">
        <v>900207008</v>
      </c>
      <c r="E9" s="41" t="s">
        <v>52</v>
      </c>
      <c r="F9" s="41" t="s">
        <v>60</v>
      </c>
      <c r="G9" s="41" t="s">
        <v>37</v>
      </c>
    </row>
    <row r="10" spans="2:7" ht="22.5" customHeight="1">
      <c r="B10" s="41">
        <v>0</v>
      </c>
      <c r="C10" s="41" t="s">
        <v>61</v>
      </c>
      <c r="D10" s="41">
        <v>90014041105</v>
      </c>
      <c r="E10" s="41" t="s">
        <v>52</v>
      </c>
      <c r="F10" s="41" t="s">
        <v>62</v>
      </c>
      <c r="G10" s="41" t="s">
        <v>37</v>
      </c>
    </row>
    <row r="11" spans="2:7" ht="22.5" customHeight="1">
      <c r="B11" s="41">
        <v>0</v>
      </c>
      <c r="C11" s="41" t="s">
        <v>63</v>
      </c>
      <c r="D11" s="41" t="s">
        <v>64</v>
      </c>
      <c r="E11" s="41" t="s">
        <v>65</v>
      </c>
      <c r="F11" s="41" t="s">
        <v>66</v>
      </c>
      <c r="G11" s="41" t="s">
        <v>37</v>
      </c>
    </row>
    <row r="12" spans="2:7" ht="22.5" customHeight="1">
      <c r="B12" s="41">
        <v>0</v>
      </c>
      <c r="C12" s="41" t="s">
        <v>67</v>
      </c>
      <c r="D12" s="41">
        <v>8909192832</v>
      </c>
      <c r="E12" s="41" t="s">
        <v>48</v>
      </c>
      <c r="F12" s="41" t="s">
        <v>68</v>
      </c>
      <c r="G12" s="41" t="s">
        <v>37</v>
      </c>
    </row>
    <row r="13" spans="2:7" ht="22.5" customHeight="1">
      <c r="B13" s="41">
        <v>2</v>
      </c>
      <c r="C13" s="41" t="s">
        <v>69</v>
      </c>
      <c r="D13" s="41" t="s">
        <v>70</v>
      </c>
      <c r="E13" s="41" t="s">
        <v>71</v>
      </c>
      <c r="F13" s="41" t="s">
        <v>72</v>
      </c>
      <c r="G13" s="41" t="s">
        <v>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185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/>
  <cols>
    <col min="1" max="9" width="18.88671875" customWidth="1"/>
    <col min="10" max="10" width="24.109375" customWidth="1"/>
    <col min="11" max="21" width="18.88671875" customWidth="1"/>
  </cols>
  <sheetData>
    <row r="1" spans="1:15" ht="22.5" customHeight="1">
      <c r="A1" s="40" t="s">
        <v>73</v>
      </c>
      <c r="B1" s="40" t="s">
        <v>74</v>
      </c>
      <c r="C1" s="40" t="s">
        <v>12</v>
      </c>
      <c r="D1" s="40" t="s">
        <v>75</v>
      </c>
      <c r="E1" s="40" t="s">
        <v>76</v>
      </c>
      <c r="F1" s="40" t="s">
        <v>77</v>
      </c>
      <c r="G1" s="40" t="s">
        <v>78</v>
      </c>
      <c r="H1" s="40" t="s">
        <v>79</v>
      </c>
      <c r="I1" s="40" t="s">
        <v>80</v>
      </c>
      <c r="J1" s="40" t="s">
        <v>81</v>
      </c>
      <c r="K1" s="40" t="s">
        <v>82</v>
      </c>
      <c r="L1" s="40" t="s">
        <v>83</v>
      </c>
      <c r="M1" s="40" t="s">
        <v>84</v>
      </c>
      <c r="N1" s="40" t="s">
        <v>85</v>
      </c>
      <c r="O1" s="40" t="s">
        <v>30</v>
      </c>
    </row>
    <row r="2" spans="1:15" ht="22.5" customHeight="1">
      <c r="A2" s="42">
        <v>45777.983626435183</v>
      </c>
      <c r="B2" s="41">
        <v>12</v>
      </c>
      <c r="C2" s="41">
        <v>1</v>
      </c>
      <c r="D2" s="41" t="s">
        <v>86</v>
      </c>
      <c r="E2" s="41" t="s">
        <v>87</v>
      </c>
      <c r="F2" s="41" t="s">
        <v>88</v>
      </c>
      <c r="G2" s="41">
        <v>34343442</v>
      </c>
      <c r="H2" s="41" t="s">
        <v>89</v>
      </c>
      <c r="I2" s="41" t="s">
        <v>90</v>
      </c>
      <c r="J2" s="41" t="s">
        <v>91</v>
      </c>
      <c r="K2" s="41" t="s">
        <v>92</v>
      </c>
      <c r="L2" s="41"/>
      <c r="M2" s="41"/>
      <c r="N2" s="41"/>
      <c r="O2" s="41"/>
    </row>
    <row r="3" spans="1:15" ht="22.5" customHeight="1">
      <c r="A3" s="42">
        <v>45777.984375092594</v>
      </c>
      <c r="B3" s="41">
        <v>21232</v>
      </c>
      <c r="C3" s="41" t="s">
        <v>93</v>
      </c>
      <c r="D3" s="41" t="s">
        <v>94</v>
      </c>
      <c r="E3" s="41" t="s">
        <v>95</v>
      </c>
      <c r="F3" s="41" t="s">
        <v>96</v>
      </c>
      <c r="G3" s="41" t="s">
        <v>97</v>
      </c>
      <c r="H3" s="41" t="s">
        <v>89</v>
      </c>
      <c r="I3" s="41" t="s">
        <v>98</v>
      </c>
      <c r="J3" s="41" t="s">
        <v>99</v>
      </c>
      <c r="K3" s="41" t="s">
        <v>100</v>
      </c>
      <c r="L3" s="41"/>
      <c r="M3" s="41"/>
      <c r="N3" s="41"/>
      <c r="O3" s="41"/>
    </row>
    <row r="4" spans="1:15" ht="22.5" customHeight="1">
      <c r="A4" s="42">
        <v>45777.98593836806</v>
      </c>
      <c r="B4" s="41">
        <v>11</v>
      </c>
      <c r="C4" s="41" t="s">
        <v>101</v>
      </c>
      <c r="D4" s="41" t="s">
        <v>102</v>
      </c>
      <c r="E4" s="41" t="s">
        <v>103</v>
      </c>
      <c r="F4" s="41" t="s">
        <v>104</v>
      </c>
      <c r="G4" s="41" t="s">
        <v>105</v>
      </c>
      <c r="H4" s="41" t="s">
        <v>89</v>
      </c>
      <c r="I4" s="41" t="s">
        <v>106</v>
      </c>
      <c r="J4" s="41" t="s">
        <v>107</v>
      </c>
      <c r="K4" s="41" t="s">
        <v>108</v>
      </c>
      <c r="L4" s="41"/>
      <c r="M4" s="41"/>
      <c r="N4" s="41"/>
      <c r="O4" s="41"/>
    </row>
    <row r="5" spans="1:15" ht="22.5" customHeight="1">
      <c r="A5" s="42">
        <v>45777.986800752318</v>
      </c>
      <c r="B5" s="41">
        <v>11</v>
      </c>
      <c r="C5" s="41" t="s">
        <v>109</v>
      </c>
      <c r="D5" s="41" t="s">
        <v>110</v>
      </c>
      <c r="E5" s="41" t="s">
        <v>111</v>
      </c>
      <c r="F5" s="41" t="s">
        <v>112</v>
      </c>
      <c r="G5" s="41" t="s">
        <v>113</v>
      </c>
      <c r="H5" s="41" t="s">
        <v>89</v>
      </c>
      <c r="I5" s="41" t="s">
        <v>114</v>
      </c>
      <c r="J5" s="41">
        <v>3</v>
      </c>
      <c r="K5" s="41" t="s">
        <v>115</v>
      </c>
      <c r="L5" s="41"/>
      <c r="M5" s="41"/>
      <c r="N5" s="41"/>
      <c r="O5" s="41"/>
    </row>
    <row r="6" spans="1:15" ht="22.5" customHeight="1">
      <c r="A6" s="42">
        <v>45777.98963924768</v>
      </c>
      <c r="B6" s="41">
        <v>11</v>
      </c>
      <c r="C6" s="41" t="s">
        <v>116</v>
      </c>
      <c r="D6" s="41" t="s">
        <v>117</v>
      </c>
      <c r="E6" s="41" t="s">
        <v>116</v>
      </c>
      <c r="F6" s="41" t="s">
        <v>118</v>
      </c>
      <c r="G6" s="41" t="s">
        <v>119</v>
      </c>
      <c r="H6" s="41" t="s">
        <v>89</v>
      </c>
      <c r="I6" s="41" t="s">
        <v>120</v>
      </c>
      <c r="J6" s="41" t="s">
        <v>121</v>
      </c>
      <c r="K6" s="41" t="s">
        <v>122</v>
      </c>
      <c r="L6" s="41"/>
      <c r="M6" s="41"/>
      <c r="N6" s="41"/>
      <c r="O6" s="41"/>
    </row>
    <row r="7" spans="1:15" ht="22.5" customHeight="1">
      <c r="A7" s="42">
        <v>45778.001214594908</v>
      </c>
      <c r="B7" s="41">
        <v>33</v>
      </c>
      <c r="C7" s="41" t="s">
        <v>123</v>
      </c>
      <c r="D7" s="41" t="s">
        <v>124</v>
      </c>
      <c r="E7" s="41" t="s">
        <v>125</v>
      </c>
      <c r="F7" s="41" t="s">
        <v>126</v>
      </c>
      <c r="G7" s="41" t="s">
        <v>127</v>
      </c>
      <c r="H7" s="41" t="s">
        <v>89</v>
      </c>
      <c r="I7" s="41" t="s">
        <v>128</v>
      </c>
      <c r="J7" s="41" t="s">
        <v>129</v>
      </c>
      <c r="K7" s="41" t="s">
        <v>130</v>
      </c>
      <c r="L7" s="41"/>
      <c r="M7" s="41"/>
      <c r="N7" s="41"/>
      <c r="O7" s="41"/>
    </row>
    <row r="8" spans="1:15" ht="22.5" customHeight="1">
      <c r="A8" s="42">
        <v>45778.004015092592</v>
      </c>
      <c r="B8" s="41">
        <v>33</v>
      </c>
      <c r="C8" s="41" t="s">
        <v>131</v>
      </c>
      <c r="D8" s="41" t="s">
        <v>132</v>
      </c>
      <c r="E8" s="41" t="s">
        <v>133</v>
      </c>
      <c r="F8" s="41" t="s">
        <v>134</v>
      </c>
      <c r="G8" s="41" t="s">
        <v>135</v>
      </c>
      <c r="H8" s="41" t="s">
        <v>89</v>
      </c>
      <c r="I8" s="41" t="s">
        <v>136</v>
      </c>
      <c r="J8" s="41" t="s">
        <v>137</v>
      </c>
      <c r="K8" s="41" t="s">
        <v>138</v>
      </c>
      <c r="L8" s="41"/>
      <c r="M8" s="41"/>
      <c r="N8" s="41"/>
      <c r="O8" s="41"/>
    </row>
    <row r="9" spans="1:15" ht="22.5" customHeight="1">
      <c r="A9" s="42">
        <v>45778.009861666666</v>
      </c>
      <c r="B9" s="41">
        <v>33</v>
      </c>
      <c r="C9" s="41" t="s">
        <v>139</v>
      </c>
      <c r="D9" s="41" t="s">
        <v>140</v>
      </c>
      <c r="E9" s="41" t="s">
        <v>141</v>
      </c>
      <c r="F9" s="41" t="s">
        <v>142</v>
      </c>
      <c r="G9" s="41" t="s">
        <v>143</v>
      </c>
      <c r="H9" s="41" t="s">
        <v>89</v>
      </c>
      <c r="I9" s="41" t="s">
        <v>144</v>
      </c>
      <c r="J9" s="41" t="s">
        <v>97</v>
      </c>
      <c r="K9" s="41" t="s">
        <v>145</v>
      </c>
      <c r="L9" s="41"/>
      <c r="M9" s="41"/>
      <c r="N9" s="41"/>
      <c r="O9" s="41"/>
    </row>
    <row r="10" spans="1:15" ht="22.5" customHeight="1">
      <c r="A10" s="42">
        <v>45778.011906192129</v>
      </c>
      <c r="B10" s="41">
        <v>1</v>
      </c>
      <c r="C10" s="41" t="s">
        <v>146</v>
      </c>
      <c r="D10" s="41" t="s">
        <v>147</v>
      </c>
      <c r="E10" s="41" t="s">
        <v>148</v>
      </c>
      <c r="F10" s="41" t="s">
        <v>149</v>
      </c>
      <c r="G10" s="41" t="s">
        <v>150</v>
      </c>
      <c r="H10" s="41" t="s">
        <v>89</v>
      </c>
      <c r="I10" s="41" t="s">
        <v>151</v>
      </c>
      <c r="J10" s="41" t="s">
        <v>152</v>
      </c>
      <c r="K10" s="41" t="s">
        <v>153</v>
      </c>
      <c r="L10" s="41"/>
      <c r="M10" s="41"/>
      <c r="N10" s="41"/>
      <c r="O10" s="41"/>
    </row>
    <row r="11" spans="1:15" ht="22.5" customHeight="1">
      <c r="A11" s="42">
        <v>45778.027953576384</v>
      </c>
      <c r="B11" s="41">
        <v>1</v>
      </c>
      <c r="C11" s="41" t="s">
        <v>154</v>
      </c>
    </row>
    <row r="12" spans="1:15" ht="22.5" customHeight="1">
      <c r="A12" s="42">
        <v>45778.731668587963</v>
      </c>
      <c r="B12" s="41">
        <v>1</v>
      </c>
      <c r="C12" s="41" t="s">
        <v>155</v>
      </c>
      <c r="D12" s="41" t="s">
        <v>156</v>
      </c>
      <c r="E12" s="41">
        <v>34</v>
      </c>
      <c r="F12" s="41" t="s">
        <v>157</v>
      </c>
      <c r="G12" s="41">
        <v>35</v>
      </c>
      <c r="H12" s="41" t="s">
        <v>89</v>
      </c>
      <c r="I12" s="41">
        <v>3243</v>
      </c>
      <c r="J12" s="41" t="s">
        <v>158</v>
      </c>
      <c r="K12" s="41">
        <v>23433</v>
      </c>
      <c r="L12" s="41"/>
      <c r="M12" s="41"/>
      <c r="N12" s="41"/>
      <c r="O12" s="41"/>
    </row>
    <row r="13" spans="1:15" ht="22.5" customHeight="1">
      <c r="A13" s="42">
        <v>45778.733790972226</v>
      </c>
      <c r="B13" s="41">
        <v>77</v>
      </c>
      <c r="C13" s="41" t="s">
        <v>159</v>
      </c>
      <c r="D13" s="41" t="s">
        <v>160</v>
      </c>
      <c r="E13" s="41" t="s">
        <v>161</v>
      </c>
      <c r="F13" s="41" t="s">
        <v>162</v>
      </c>
      <c r="G13" s="41" t="s">
        <v>163</v>
      </c>
      <c r="H13" s="41" t="s">
        <v>89</v>
      </c>
      <c r="I13" s="41" t="s">
        <v>164</v>
      </c>
      <c r="J13" s="41" t="s">
        <v>165</v>
      </c>
      <c r="K13" s="41" t="s">
        <v>166</v>
      </c>
      <c r="L13" s="41"/>
      <c r="M13" s="41"/>
      <c r="N13" s="41"/>
      <c r="O13" s="41"/>
    </row>
    <row r="14" spans="1:15" ht="22.5" customHeight="1">
      <c r="A14" s="42">
        <v>45778.792128182875</v>
      </c>
      <c r="B14" s="41">
        <v>45</v>
      </c>
      <c r="C14" s="41" t="s">
        <v>167</v>
      </c>
      <c r="D14" s="41" t="s">
        <v>168</v>
      </c>
      <c r="E14" s="41" t="s">
        <v>169</v>
      </c>
      <c r="F14" s="41" t="s">
        <v>170</v>
      </c>
      <c r="G14" s="41" t="s">
        <v>171</v>
      </c>
      <c r="H14" s="41" t="s">
        <v>89</v>
      </c>
      <c r="I14" s="41" t="s">
        <v>172</v>
      </c>
      <c r="J14" s="41" t="s">
        <v>173</v>
      </c>
      <c r="K14" s="41" t="s">
        <v>174</v>
      </c>
      <c r="L14" s="41" t="s">
        <v>175</v>
      </c>
      <c r="M14" s="41" t="s">
        <v>176</v>
      </c>
      <c r="N14" s="41"/>
      <c r="O14" s="41"/>
    </row>
    <row r="15" spans="1:15" ht="22.5" customHeight="1">
      <c r="A15" s="42">
        <v>45778.792890520832</v>
      </c>
      <c r="B15" s="41">
        <v>45</v>
      </c>
      <c r="C15" s="41" t="s">
        <v>177</v>
      </c>
      <c r="D15" s="41" t="s">
        <v>178</v>
      </c>
      <c r="E15" s="41" t="s">
        <v>179</v>
      </c>
      <c r="F15" s="41" t="s">
        <v>180</v>
      </c>
      <c r="G15" s="41" t="s">
        <v>181</v>
      </c>
      <c r="H15" s="41" t="s">
        <v>89</v>
      </c>
      <c r="I15" s="41" t="s">
        <v>182</v>
      </c>
      <c r="J15" s="41" t="s">
        <v>183</v>
      </c>
      <c r="K15" s="41" t="s">
        <v>184</v>
      </c>
      <c r="L15" s="41" t="s">
        <v>185</v>
      </c>
      <c r="M15" s="41" t="s">
        <v>184</v>
      </c>
      <c r="N15" s="41"/>
      <c r="O15" s="41"/>
    </row>
    <row r="16" spans="1:15" ht="22.5" customHeight="1">
      <c r="A16" s="42">
        <v>45778.79325393519</v>
      </c>
      <c r="B16" s="41">
        <v>45</v>
      </c>
      <c r="C16" s="41" t="s">
        <v>186</v>
      </c>
      <c r="D16" s="41" t="s">
        <v>186</v>
      </c>
      <c r="E16" s="41" t="s">
        <v>186</v>
      </c>
      <c r="F16" s="41" t="s">
        <v>186</v>
      </c>
      <c r="G16" s="41" t="s">
        <v>186</v>
      </c>
      <c r="H16" s="41" t="s">
        <v>187</v>
      </c>
      <c r="I16" s="41" t="s">
        <v>186</v>
      </c>
      <c r="J16" s="41" t="s">
        <v>186</v>
      </c>
      <c r="K16" s="41" t="s">
        <v>186</v>
      </c>
      <c r="L16" s="41" t="s">
        <v>186</v>
      </c>
      <c r="M16" s="41" t="s">
        <v>186</v>
      </c>
      <c r="N16" s="41"/>
      <c r="O16" s="41"/>
    </row>
    <row r="17" spans="1:15" ht="22.5" customHeight="1">
      <c r="A17" s="42">
        <v>45778.794826018522</v>
      </c>
      <c r="B17" s="41">
        <v>34</v>
      </c>
      <c r="C17" s="41" t="s">
        <v>188</v>
      </c>
      <c r="D17" s="41" t="s">
        <v>189</v>
      </c>
      <c r="E17" s="41" t="s">
        <v>189</v>
      </c>
      <c r="F17" s="41" t="s">
        <v>189</v>
      </c>
      <c r="G17" s="41" t="s">
        <v>189</v>
      </c>
      <c r="H17" s="41" t="s">
        <v>89</v>
      </c>
      <c r="I17" s="41" t="s">
        <v>189</v>
      </c>
      <c r="J17" s="41" t="s">
        <v>189</v>
      </c>
      <c r="K17" s="41" t="s">
        <v>189</v>
      </c>
      <c r="L17" s="41" t="s">
        <v>189</v>
      </c>
      <c r="M17" s="41" t="s">
        <v>189</v>
      </c>
      <c r="N17" s="41"/>
      <c r="O17" s="41"/>
    </row>
    <row r="18" spans="1:15" ht="22.5" customHeight="1">
      <c r="A18" s="42">
        <v>45778.805176087961</v>
      </c>
      <c r="B18" s="41">
        <v>215</v>
      </c>
      <c r="C18" s="41" t="s">
        <v>190</v>
      </c>
      <c r="D18" s="41" t="s">
        <v>191</v>
      </c>
      <c r="E18" s="41" t="s">
        <v>192</v>
      </c>
      <c r="F18" s="41" t="s">
        <v>193</v>
      </c>
      <c r="G18" s="41" t="s">
        <v>194</v>
      </c>
      <c r="H18" s="41" t="s">
        <v>89</v>
      </c>
      <c r="I18" s="41" t="s">
        <v>195</v>
      </c>
      <c r="J18" s="41" t="s">
        <v>196</v>
      </c>
      <c r="K18" s="41" t="s">
        <v>196</v>
      </c>
      <c r="L18" s="41" t="s">
        <v>196</v>
      </c>
      <c r="M18" s="41" t="s">
        <v>197</v>
      </c>
      <c r="N18" s="41"/>
      <c r="O18" s="41"/>
    </row>
    <row r="19" spans="1:15" ht="22.5" customHeight="1">
      <c r="A19" s="42">
        <v>45778.806642858792</v>
      </c>
      <c r="B19" s="41">
        <v>215</v>
      </c>
      <c r="C19" s="41" t="s">
        <v>198</v>
      </c>
      <c r="D19" s="41" t="s">
        <v>199</v>
      </c>
      <c r="E19" s="41" t="s">
        <v>200</v>
      </c>
      <c r="F19" s="41" t="s">
        <v>201</v>
      </c>
      <c r="G19" s="41" t="s">
        <v>195</v>
      </c>
      <c r="H19" s="41" t="s">
        <v>187</v>
      </c>
      <c r="I19" s="41" t="s">
        <v>202</v>
      </c>
      <c r="J19" s="41" t="s">
        <v>203</v>
      </c>
      <c r="K19" s="41" t="s">
        <v>204</v>
      </c>
      <c r="L19" s="41" t="s">
        <v>205</v>
      </c>
      <c r="M19" s="41" t="s">
        <v>206</v>
      </c>
      <c r="N19" s="41"/>
      <c r="O19" s="41"/>
    </row>
    <row r="20" spans="1:15" ht="22.5" customHeight="1">
      <c r="A20" s="42">
        <v>45778.806968506949</v>
      </c>
      <c r="B20" s="41">
        <v>34575</v>
      </c>
      <c r="C20" s="41" t="s">
        <v>207</v>
      </c>
      <c r="D20" s="41" t="s">
        <v>208</v>
      </c>
      <c r="E20" s="41" t="s">
        <v>209</v>
      </c>
      <c r="F20" s="41" t="s">
        <v>210</v>
      </c>
      <c r="G20" s="41" t="s">
        <v>211</v>
      </c>
      <c r="H20" s="41" t="s">
        <v>89</v>
      </c>
      <c r="I20" s="41" t="s">
        <v>212</v>
      </c>
      <c r="J20" s="41" t="s">
        <v>212</v>
      </c>
      <c r="K20" s="41" t="s">
        <v>213</v>
      </c>
      <c r="L20" s="41" t="s">
        <v>211</v>
      </c>
      <c r="M20" s="41" t="s">
        <v>214</v>
      </c>
      <c r="N20" s="41"/>
      <c r="O20" s="41"/>
    </row>
    <row r="21" spans="1:15" ht="22.5" customHeight="1">
      <c r="A21" s="42">
        <v>45778.812152222221</v>
      </c>
      <c r="B21" s="41" t="s">
        <v>215</v>
      </c>
      <c r="C21" s="41" t="s">
        <v>216</v>
      </c>
      <c r="M21" s="41" t="s">
        <v>216</v>
      </c>
      <c r="N21" s="41"/>
      <c r="O21" s="41"/>
    </row>
    <row r="22" spans="1:15" ht="22.5" customHeight="1">
      <c r="A22" s="42">
        <v>45778.812377199079</v>
      </c>
      <c r="B22" s="41" t="s">
        <v>215</v>
      </c>
      <c r="C22" s="41" t="s">
        <v>217</v>
      </c>
      <c r="M22" s="41" t="s">
        <v>217</v>
      </c>
      <c r="N22" s="41"/>
      <c r="O22" s="41"/>
    </row>
    <row r="23" spans="1:15" ht="22.5" customHeight="1">
      <c r="A23" s="42">
        <v>45778.81284864583</v>
      </c>
      <c r="B23" s="41" t="s">
        <v>218</v>
      </c>
      <c r="C23" s="41" t="s">
        <v>219</v>
      </c>
      <c r="M23" s="41" t="s">
        <v>219</v>
      </c>
      <c r="N23" s="41"/>
      <c r="O23" s="41"/>
    </row>
    <row r="24" spans="1:15" ht="22.5" customHeight="1">
      <c r="A24" s="42">
        <v>45778.894893113422</v>
      </c>
      <c r="B24" s="41">
        <v>3234</v>
      </c>
      <c r="C24" s="41" t="s">
        <v>220</v>
      </c>
      <c r="D24" s="41" t="s">
        <v>221</v>
      </c>
      <c r="E24" s="41" t="s">
        <v>222</v>
      </c>
      <c r="F24" s="41" t="s">
        <v>223</v>
      </c>
      <c r="G24" s="41" t="s">
        <v>224</v>
      </c>
      <c r="H24" s="41" t="s">
        <v>187</v>
      </c>
      <c r="I24" s="41" t="s">
        <v>225</v>
      </c>
      <c r="J24" s="41" t="s">
        <v>226</v>
      </c>
      <c r="K24" s="41" t="s">
        <v>227</v>
      </c>
      <c r="L24" s="41" t="s">
        <v>228</v>
      </c>
      <c r="M24" s="41" t="s">
        <v>229</v>
      </c>
      <c r="N24" s="41" t="s">
        <v>230</v>
      </c>
      <c r="O24" s="41"/>
    </row>
    <row r="25" spans="1:15" ht="22.5" customHeight="1">
      <c r="A25" s="42">
        <v>45778.89671375</v>
      </c>
      <c r="B25" s="41">
        <v>35423</v>
      </c>
      <c r="C25" s="41" t="s">
        <v>231</v>
      </c>
      <c r="D25" s="41" t="s">
        <v>232</v>
      </c>
      <c r="E25" s="41" t="s">
        <v>233</v>
      </c>
      <c r="F25" s="41" t="s">
        <v>234</v>
      </c>
      <c r="G25" s="41" t="s">
        <v>235</v>
      </c>
      <c r="H25" s="41" t="s">
        <v>89</v>
      </c>
      <c r="I25" s="41" t="s">
        <v>205</v>
      </c>
      <c r="J25" s="41" t="s">
        <v>236</v>
      </c>
      <c r="K25" s="41" t="s">
        <v>237</v>
      </c>
      <c r="L25" s="41" t="s">
        <v>238</v>
      </c>
      <c r="M25" s="41" t="s">
        <v>238</v>
      </c>
      <c r="N25" s="41" t="s">
        <v>230</v>
      </c>
      <c r="O25" s="41"/>
    </row>
    <row r="26" spans="1:15" ht="22.5" customHeight="1">
      <c r="A26" s="42">
        <v>45778.89870424768</v>
      </c>
      <c r="B26" s="41">
        <v>35423</v>
      </c>
      <c r="C26" s="41" t="s">
        <v>239</v>
      </c>
      <c r="D26" s="41" t="s">
        <v>240</v>
      </c>
      <c r="E26" s="41" t="s">
        <v>239</v>
      </c>
      <c r="F26" s="41" t="s">
        <v>241</v>
      </c>
      <c r="G26" s="41" t="s">
        <v>242</v>
      </c>
      <c r="H26" s="41" t="s">
        <v>89</v>
      </c>
      <c r="I26" s="41" t="s">
        <v>243</v>
      </c>
      <c r="J26" s="41" t="s">
        <v>244</v>
      </c>
      <c r="K26" s="41" t="s">
        <v>245</v>
      </c>
      <c r="L26" s="41" t="s">
        <v>246</v>
      </c>
      <c r="M26" s="41" t="s">
        <v>247</v>
      </c>
      <c r="N26" s="41" t="s">
        <v>230</v>
      </c>
      <c r="O26" s="41"/>
    </row>
    <row r="27" spans="1:15" ht="22.5" customHeight="1">
      <c r="A27" s="42">
        <v>45778.89912021991</v>
      </c>
      <c r="B27" s="41">
        <v>35423</v>
      </c>
      <c r="C27" s="41" t="s">
        <v>248</v>
      </c>
      <c r="D27" s="41" t="s">
        <v>249</v>
      </c>
      <c r="E27" s="41" t="s">
        <v>250</v>
      </c>
      <c r="F27" s="41" t="s">
        <v>251</v>
      </c>
      <c r="G27" s="41" t="s">
        <v>252</v>
      </c>
      <c r="H27" s="41" t="s">
        <v>187</v>
      </c>
      <c r="I27" s="41" t="s">
        <v>253</v>
      </c>
      <c r="J27" s="41" t="s">
        <v>254</v>
      </c>
      <c r="K27" s="41" t="s">
        <v>255</v>
      </c>
      <c r="L27" s="41" t="s">
        <v>256</v>
      </c>
      <c r="M27" s="41" t="s">
        <v>257</v>
      </c>
      <c r="N27" s="41" t="s">
        <v>258</v>
      </c>
      <c r="O27" s="41"/>
    </row>
    <row r="28" spans="1:15" ht="22.5" customHeight="1">
      <c r="A28" s="42">
        <v>45778.902608819444</v>
      </c>
      <c r="B28" s="41" t="s">
        <v>259</v>
      </c>
      <c r="C28" s="41">
        <v>3</v>
      </c>
      <c r="D28" s="41" t="s">
        <v>260</v>
      </c>
      <c r="E28" s="41" t="s">
        <v>261</v>
      </c>
      <c r="F28" s="41" t="s">
        <v>262</v>
      </c>
      <c r="G28" s="41" t="s">
        <v>263</v>
      </c>
      <c r="H28" s="41" t="s">
        <v>89</v>
      </c>
      <c r="I28" s="41" t="s">
        <v>264</v>
      </c>
      <c r="J28" s="41" t="s">
        <v>265</v>
      </c>
      <c r="K28" s="41">
        <v>4233</v>
      </c>
      <c r="L28" s="41">
        <v>2</v>
      </c>
      <c r="M28" s="41">
        <v>3453</v>
      </c>
      <c r="N28" s="41" t="s">
        <v>230</v>
      </c>
      <c r="O28" s="41"/>
    </row>
    <row r="29" spans="1:15" ht="22.5" customHeight="1">
      <c r="A29" s="42">
        <v>45778.903060625002</v>
      </c>
      <c r="B29" s="41" t="s">
        <v>266</v>
      </c>
      <c r="C29" s="41">
        <v>32</v>
      </c>
      <c r="D29" s="41" t="s">
        <v>267</v>
      </c>
      <c r="E29" s="41" t="s">
        <v>268</v>
      </c>
      <c r="F29" s="41" t="s">
        <v>269</v>
      </c>
      <c r="G29" s="41" t="s">
        <v>270</v>
      </c>
      <c r="H29" s="41" t="s">
        <v>187</v>
      </c>
      <c r="I29" s="41">
        <v>3</v>
      </c>
      <c r="J29" s="41" t="s">
        <v>271</v>
      </c>
      <c r="K29" s="41" t="s">
        <v>272</v>
      </c>
      <c r="L29" s="41" t="s">
        <v>273</v>
      </c>
      <c r="M29" s="41" t="s">
        <v>274</v>
      </c>
      <c r="N29" s="41" t="s">
        <v>258</v>
      </c>
      <c r="O29" s="41"/>
    </row>
    <row r="30" spans="1:15" ht="22.5" customHeight="1">
      <c r="A30" s="42">
        <v>45778.904598935187</v>
      </c>
      <c r="B30" s="41">
        <v>2</v>
      </c>
      <c r="C30" s="41" t="s">
        <v>275</v>
      </c>
      <c r="D30" s="41" t="s">
        <v>276</v>
      </c>
      <c r="E30" s="41" t="s">
        <v>277</v>
      </c>
      <c r="F30" s="41" t="s">
        <v>278</v>
      </c>
      <c r="G30" s="41" t="s">
        <v>279</v>
      </c>
      <c r="H30" s="41" t="s">
        <v>89</v>
      </c>
      <c r="I30" s="41" t="s">
        <v>280</v>
      </c>
      <c r="J30" s="41" t="s">
        <v>281</v>
      </c>
      <c r="K30" s="41">
        <v>345</v>
      </c>
      <c r="L30" s="41">
        <v>2</v>
      </c>
      <c r="M30" s="41">
        <v>234</v>
      </c>
      <c r="N30" s="41" t="s">
        <v>230</v>
      </c>
      <c r="O30" s="41"/>
    </row>
    <row r="31" spans="1:15" ht="22.5" customHeight="1">
      <c r="A31" s="42">
        <v>45778.904942847221</v>
      </c>
      <c r="B31" s="41">
        <v>2</v>
      </c>
      <c r="C31" s="41" t="s">
        <v>282</v>
      </c>
      <c r="D31" s="41" t="s">
        <v>283</v>
      </c>
      <c r="E31" s="41" t="s">
        <v>284</v>
      </c>
      <c r="F31" s="41" t="s">
        <v>285</v>
      </c>
      <c r="G31" s="41" t="s">
        <v>286</v>
      </c>
      <c r="H31" s="41" t="s">
        <v>187</v>
      </c>
      <c r="I31" s="41">
        <v>3</v>
      </c>
      <c r="J31" s="41" t="s">
        <v>287</v>
      </c>
      <c r="K31" s="41">
        <v>354</v>
      </c>
      <c r="L31" s="41">
        <v>234</v>
      </c>
      <c r="M31" s="41">
        <v>43</v>
      </c>
      <c r="N31" s="41" t="s">
        <v>258</v>
      </c>
      <c r="O31" s="41"/>
    </row>
    <row r="32" spans="1:15" ht="22.5" customHeight="1">
      <c r="A32" s="42">
        <v>45778.926005231478</v>
      </c>
      <c r="B32" s="41" t="s">
        <v>288</v>
      </c>
      <c r="C32" s="41" t="s">
        <v>289</v>
      </c>
      <c r="D32" s="41" t="s">
        <v>290</v>
      </c>
      <c r="E32" s="41" t="s">
        <v>291</v>
      </c>
      <c r="F32" s="41" t="s">
        <v>292</v>
      </c>
      <c r="G32" s="41" t="s">
        <v>292</v>
      </c>
      <c r="H32" s="41" t="s">
        <v>89</v>
      </c>
      <c r="I32" s="41">
        <v>4</v>
      </c>
      <c r="J32" s="41" t="s">
        <v>293</v>
      </c>
      <c r="K32" s="41">
        <v>365</v>
      </c>
      <c r="L32" s="41">
        <v>34</v>
      </c>
      <c r="M32" s="41">
        <v>54</v>
      </c>
      <c r="N32" s="41" t="s">
        <v>230</v>
      </c>
      <c r="O32" s="41"/>
    </row>
    <row r="33" spans="1:15" ht="22.5" customHeight="1">
      <c r="A33" s="42">
        <v>45778.926435520829</v>
      </c>
      <c r="B33" s="41" t="s">
        <v>288</v>
      </c>
      <c r="C33" s="41" t="s">
        <v>294</v>
      </c>
      <c r="D33" s="41" t="s">
        <v>295</v>
      </c>
      <c r="E33" s="41" t="s">
        <v>296</v>
      </c>
      <c r="F33" s="41" t="s">
        <v>297</v>
      </c>
      <c r="G33" s="41" t="s">
        <v>298</v>
      </c>
      <c r="H33" s="41" t="s">
        <v>187</v>
      </c>
      <c r="I33" s="41">
        <v>4</v>
      </c>
      <c r="J33" s="41" t="s">
        <v>299</v>
      </c>
      <c r="K33" s="41">
        <v>334</v>
      </c>
      <c r="L33" s="41">
        <v>2</v>
      </c>
      <c r="M33" s="41">
        <v>345</v>
      </c>
      <c r="N33" s="41" t="s">
        <v>258</v>
      </c>
      <c r="O33" s="41"/>
    </row>
    <row r="34" spans="1:15" ht="22.5" customHeight="1">
      <c r="A34" s="42">
        <v>45778.928147303246</v>
      </c>
      <c r="B34" s="41" t="s">
        <v>300</v>
      </c>
      <c r="C34" s="41" t="s">
        <v>301</v>
      </c>
      <c r="D34" s="41" t="s">
        <v>302</v>
      </c>
      <c r="E34" s="41" t="s">
        <v>303</v>
      </c>
      <c r="F34" s="41" t="s">
        <v>304</v>
      </c>
      <c r="G34" s="41" t="s">
        <v>305</v>
      </c>
      <c r="H34" s="41" t="s">
        <v>89</v>
      </c>
      <c r="I34" s="41">
        <v>34</v>
      </c>
      <c r="J34" s="41" t="s">
        <v>306</v>
      </c>
      <c r="K34" s="41">
        <v>34</v>
      </c>
      <c r="L34" s="41">
        <v>35</v>
      </c>
      <c r="M34" s="41">
        <v>43</v>
      </c>
      <c r="N34" s="41" t="s">
        <v>230</v>
      </c>
      <c r="O34" s="41"/>
    </row>
    <row r="35" spans="1:15" ht="22.5" customHeight="1">
      <c r="A35" s="42">
        <v>45778.935433483799</v>
      </c>
      <c r="B35" s="41" t="s">
        <v>307</v>
      </c>
      <c r="C35" s="41" t="s">
        <v>308</v>
      </c>
      <c r="D35" s="41" t="s">
        <v>309</v>
      </c>
      <c r="E35" s="41" t="s">
        <v>310</v>
      </c>
      <c r="F35" s="41" t="s">
        <v>311</v>
      </c>
      <c r="G35" s="41" t="s">
        <v>312</v>
      </c>
      <c r="H35" s="41" t="s">
        <v>89</v>
      </c>
      <c r="I35" s="41">
        <v>45</v>
      </c>
      <c r="J35" s="41" t="s">
        <v>313</v>
      </c>
      <c r="K35" s="41">
        <v>354</v>
      </c>
      <c r="L35" s="41">
        <v>23</v>
      </c>
      <c r="M35" s="41">
        <v>542</v>
      </c>
      <c r="N35" s="41" t="s">
        <v>230</v>
      </c>
      <c r="O35" s="41"/>
    </row>
    <row r="36" spans="1:15" ht="22.5" customHeight="1">
      <c r="A36" s="42">
        <v>45778.935789409719</v>
      </c>
      <c r="B36" s="41" t="s">
        <v>307</v>
      </c>
      <c r="C36" s="41" t="s">
        <v>314</v>
      </c>
      <c r="D36" s="41" t="s">
        <v>315</v>
      </c>
      <c r="E36" s="41" t="s">
        <v>316</v>
      </c>
      <c r="F36" s="41" t="s">
        <v>317</v>
      </c>
      <c r="G36" s="41" t="s">
        <v>318</v>
      </c>
      <c r="H36" s="41" t="s">
        <v>187</v>
      </c>
      <c r="I36" s="41">
        <v>44</v>
      </c>
      <c r="J36" s="41" t="s">
        <v>319</v>
      </c>
      <c r="K36" s="41">
        <v>4564</v>
      </c>
      <c r="L36" s="41">
        <v>3445</v>
      </c>
      <c r="M36" s="41">
        <v>3564</v>
      </c>
      <c r="N36" s="41" t="s">
        <v>230</v>
      </c>
      <c r="O36" s="41"/>
    </row>
    <row r="37" spans="1:15" ht="22.5" customHeight="1">
      <c r="A37" s="42">
        <v>45778.936165034727</v>
      </c>
      <c r="B37" s="41" t="s">
        <v>307</v>
      </c>
      <c r="C37" s="41" t="s">
        <v>320</v>
      </c>
      <c r="D37" s="41" t="s">
        <v>321</v>
      </c>
      <c r="E37" s="41" t="s">
        <v>322</v>
      </c>
      <c r="F37" s="41" t="s">
        <v>323</v>
      </c>
      <c r="G37" s="41" t="s">
        <v>324</v>
      </c>
      <c r="H37" s="41" t="s">
        <v>89</v>
      </c>
      <c r="I37" s="41">
        <v>45</v>
      </c>
      <c r="J37" s="41" t="s">
        <v>325</v>
      </c>
      <c r="K37" s="41">
        <v>4546</v>
      </c>
      <c r="L37" s="41">
        <v>34</v>
      </c>
      <c r="M37" s="41">
        <v>654</v>
      </c>
      <c r="N37" s="41" t="s">
        <v>258</v>
      </c>
      <c r="O37" s="41"/>
    </row>
    <row r="38" spans="1:15" ht="22.5" customHeight="1">
      <c r="A38" s="42">
        <v>45778.937649837964</v>
      </c>
      <c r="B38" s="41" t="s">
        <v>307</v>
      </c>
      <c r="M38" s="41">
        <v>43545</v>
      </c>
      <c r="N38" s="41" t="s">
        <v>258</v>
      </c>
      <c r="O38" s="41"/>
    </row>
    <row r="39" spans="1:15" ht="22.5" customHeight="1">
      <c r="A39" s="42">
        <v>45779.300324027776</v>
      </c>
      <c r="B39" s="41" t="s">
        <v>307</v>
      </c>
      <c r="D39" s="41" t="s">
        <v>326</v>
      </c>
      <c r="L39" s="41">
        <v>43</v>
      </c>
      <c r="M39" s="41">
        <v>234</v>
      </c>
      <c r="N39" s="41" t="s">
        <v>258</v>
      </c>
      <c r="O39" s="41"/>
    </row>
    <row r="40" spans="1:15" ht="22.5" customHeight="1">
      <c r="A40" s="42">
        <v>45779.329700173606</v>
      </c>
      <c r="B40" s="41" t="s">
        <v>327</v>
      </c>
      <c r="H40" s="41" t="s">
        <v>89</v>
      </c>
      <c r="I40" s="41">
        <v>4</v>
      </c>
      <c r="K40" s="41">
        <v>322</v>
      </c>
      <c r="L40" s="41">
        <v>4</v>
      </c>
      <c r="M40" s="41">
        <v>324</v>
      </c>
      <c r="N40" s="41" t="s">
        <v>258</v>
      </c>
      <c r="O40" s="41"/>
    </row>
    <row r="41" spans="1:15" ht="22.5" customHeight="1">
      <c r="A41" s="42">
        <v>45779.331301030092</v>
      </c>
      <c r="B41" s="41" t="s">
        <v>328</v>
      </c>
      <c r="H41" s="41" t="s">
        <v>89</v>
      </c>
      <c r="I41" s="41">
        <v>1</v>
      </c>
      <c r="K41" s="41">
        <v>300</v>
      </c>
      <c r="L41" s="41">
        <v>0</v>
      </c>
      <c r="M41" s="41">
        <v>300</v>
      </c>
      <c r="N41" s="41" t="s">
        <v>258</v>
      </c>
      <c r="O41" s="41"/>
    </row>
    <row r="42" spans="1:15" ht="22.5" customHeight="1">
      <c r="A42" s="42">
        <v>45779.332122488428</v>
      </c>
      <c r="B42" s="41" t="s">
        <v>328</v>
      </c>
      <c r="C42" s="41" t="s">
        <v>203</v>
      </c>
      <c r="D42" s="41" t="s">
        <v>329</v>
      </c>
      <c r="E42" s="41" t="s">
        <v>330</v>
      </c>
      <c r="F42" s="41" t="s">
        <v>331</v>
      </c>
      <c r="G42" s="41" t="s">
        <v>332</v>
      </c>
      <c r="H42" s="41" t="s">
        <v>89</v>
      </c>
      <c r="I42" s="41">
        <v>1</v>
      </c>
      <c r="J42" s="41" t="s">
        <v>219</v>
      </c>
      <c r="K42" s="41">
        <v>3233</v>
      </c>
      <c r="L42" s="41">
        <v>3</v>
      </c>
      <c r="M42" s="41">
        <v>300</v>
      </c>
      <c r="N42" s="41" t="s">
        <v>258</v>
      </c>
      <c r="O42" s="41"/>
    </row>
    <row r="43" spans="1:15" ht="22.5" customHeight="1">
      <c r="A43" s="42">
        <v>45779.332654513884</v>
      </c>
      <c r="B43" s="41" t="s">
        <v>328</v>
      </c>
      <c r="N43" s="41" t="s">
        <v>258</v>
      </c>
      <c r="O43" s="41"/>
    </row>
    <row r="44" spans="1:15" ht="22.5" customHeight="1">
      <c r="A44" s="42">
        <v>45779.614083333334</v>
      </c>
      <c r="B44" s="41" t="s">
        <v>333</v>
      </c>
      <c r="C44" s="41">
        <v>1</v>
      </c>
      <c r="D44" s="41" t="s">
        <v>334</v>
      </c>
      <c r="E44" s="41" t="s">
        <v>335</v>
      </c>
      <c r="F44" s="41" t="s">
        <v>336</v>
      </c>
      <c r="G44" s="41" t="s">
        <v>337</v>
      </c>
      <c r="H44" s="41" t="s">
        <v>89</v>
      </c>
      <c r="I44" s="41">
        <v>2</v>
      </c>
      <c r="J44" s="41" t="s">
        <v>338</v>
      </c>
      <c r="K44" s="41">
        <v>300</v>
      </c>
      <c r="L44" s="41">
        <v>4</v>
      </c>
      <c r="M44" s="41">
        <v>344</v>
      </c>
      <c r="N44" s="41" t="s">
        <v>258</v>
      </c>
      <c r="O44" s="41"/>
    </row>
    <row r="45" spans="1:15" ht="22.5" customHeight="1">
      <c r="A45" s="42">
        <v>45779.648391504626</v>
      </c>
      <c r="B45" s="41" t="s">
        <v>339</v>
      </c>
      <c r="C45" s="41">
        <v>1</v>
      </c>
      <c r="D45" s="41" t="s">
        <v>340</v>
      </c>
      <c r="E45" s="41" t="s">
        <v>341</v>
      </c>
      <c r="F45" s="41" t="s">
        <v>342</v>
      </c>
      <c r="G45" s="41" t="s">
        <v>343</v>
      </c>
      <c r="H45" s="41" t="s">
        <v>89</v>
      </c>
      <c r="I45" s="41">
        <v>3</v>
      </c>
      <c r="J45" s="41" t="s">
        <v>344</v>
      </c>
      <c r="K45" s="41">
        <v>234</v>
      </c>
      <c r="L45" s="41">
        <v>12</v>
      </c>
      <c r="M45" s="41">
        <v>700</v>
      </c>
      <c r="N45" s="41" t="s">
        <v>258</v>
      </c>
      <c r="O45" s="41"/>
    </row>
    <row r="46" spans="1:15" ht="22.5" customHeight="1">
      <c r="A46" s="42">
        <v>45779.67717299769</v>
      </c>
      <c r="B46" s="41" t="s">
        <v>345</v>
      </c>
      <c r="C46" s="41">
        <v>1</v>
      </c>
      <c r="D46" s="41" t="s">
        <v>346</v>
      </c>
      <c r="E46" s="41" t="s">
        <v>341</v>
      </c>
      <c r="F46" s="41" t="s">
        <v>347</v>
      </c>
      <c r="G46" s="41" t="s">
        <v>348</v>
      </c>
      <c r="H46" s="41" t="s">
        <v>89</v>
      </c>
      <c r="I46" s="41">
        <v>3</v>
      </c>
      <c r="J46" s="41" t="s">
        <v>349</v>
      </c>
      <c r="K46" s="41">
        <v>543</v>
      </c>
      <c r="L46" s="41">
        <v>3</v>
      </c>
      <c r="M46" s="41">
        <v>454</v>
      </c>
      <c r="N46" s="41" t="s">
        <v>258</v>
      </c>
      <c r="O46" s="41"/>
    </row>
    <row r="47" spans="1:15" ht="22.5" customHeight="1">
      <c r="A47" s="42">
        <v>45779.687777349536</v>
      </c>
      <c r="B47" s="41" t="s">
        <v>350</v>
      </c>
      <c r="C47" s="41" t="s">
        <v>351</v>
      </c>
      <c r="D47" s="41" t="s">
        <v>352</v>
      </c>
      <c r="E47" s="41" t="s">
        <v>353</v>
      </c>
      <c r="F47" s="41" t="s">
        <v>354</v>
      </c>
      <c r="G47" s="41" t="s">
        <v>355</v>
      </c>
      <c r="H47" s="41" t="s">
        <v>89</v>
      </c>
      <c r="I47" s="41">
        <v>32</v>
      </c>
      <c r="J47" s="41" t="s">
        <v>356</v>
      </c>
      <c r="K47" s="41">
        <v>34</v>
      </c>
      <c r="L47" s="41">
        <v>6</v>
      </c>
      <c r="M47" s="41">
        <v>543</v>
      </c>
      <c r="N47" s="41" t="s">
        <v>258</v>
      </c>
      <c r="O47" s="41"/>
    </row>
    <row r="48" spans="1:15" ht="22.5" customHeight="1">
      <c r="A48" s="42">
        <v>45779.703729398148</v>
      </c>
      <c r="B48" s="41" t="s">
        <v>357</v>
      </c>
      <c r="C48" s="41" t="s">
        <v>358</v>
      </c>
      <c r="D48" s="41" t="s">
        <v>359</v>
      </c>
      <c r="E48" s="41" t="s">
        <v>360</v>
      </c>
      <c r="F48" s="41" t="s">
        <v>361</v>
      </c>
      <c r="G48" s="41" t="s">
        <v>362</v>
      </c>
      <c r="H48" s="41" t="s">
        <v>187</v>
      </c>
      <c r="I48" s="41">
        <v>45</v>
      </c>
      <c r="J48" s="41" t="s">
        <v>363</v>
      </c>
      <c r="K48" s="41">
        <v>5325</v>
      </c>
      <c r="L48" s="41">
        <v>3</v>
      </c>
      <c r="M48" s="41">
        <v>55343</v>
      </c>
      <c r="N48" s="41" t="s">
        <v>258</v>
      </c>
      <c r="O48" s="41"/>
    </row>
    <row r="49" spans="1:15" ht="22.5" customHeight="1">
      <c r="A49" s="42">
        <v>45779.886976875001</v>
      </c>
      <c r="B49" s="41" t="s">
        <v>357</v>
      </c>
      <c r="C49" s="41" t="s">
        <v>140</v>
      </c>
      <c r="D49" s="41" t="s">
        <v>364</v>
      </c>
      <c r="E49" s="41" t="s">
        <v>365</v>
      </c>
      <c r="F49" s="41" t="s">
        <v>366</v>
      </c>
      <c r="G49" s="41" t="s">
        <v>367</v>
      </c>
      <c r="H49" s="41" t="s">
        <v>89</v>
      </c>
      <c r="I49" s="41" t="s">
        <v>368</v>
      </c>
      <c r="J49" s="41" t="s">
        <v>369</v>
      </c>
      <c r="K49" s="41" t="s">
        <v>370</v>
      </c>
      <c r="L49" s="41" t="s">
        <v>371</v>
      </c>
      <c r="M49" s="41" t="s">
        <v>372</v>
      </c>
      <c r="N49" s="41" t="s">
        <v>258</v>
      </c>
      <c r="O49" s="41"/>
    </row>
    <row r="50" spans="1:15" ht="22.5" customHeight="1">
      <c r="A50" s="42">
        <v>45779.890258333333</v>
      </c>
      <c r="B50" s="41" t="s">
        <v>373</v>
      </c>
      <c r="C50" s="41" t="s">
        <v>374</v>
      </c>
      <c r="D50" s="41" t="s">
        <v>375</v>
      </c>
      <c r="E50" s="41" t="s">
        <v>376</v>
      </c>
      <c r="F50" s="41" t="s">
        <v>377</v>
      </c>
      <c r="G50" s="41" t="s">
        <v>378</v>
      </c>
      <c r="H50" s="41" t="s">
        <v>89</v>
      </c>
      <c r="I50" s="41" t="s">
        <v>379</v>
      </c>
      <c r="J50" s="41" t="s">
        <v>380</v>
      </c>
      <c r="K50" s="41" t="s">
        <v>381</v>
      </c>
      <c r="L50" s="41">
        <v>22</v>
      </c>
      <c r="M50" s="41">
        <v>334</v>
      </c>
      <c r="N50" s="41" t="s">
        <v>258</v>
      </c>
      <c r="O50" s="41"/>
    </row>
    <row r="51" spans="1:15" ht="22.5" customHeight="1">
      <c r="A51" s="42">
        <v>45779.895421909721</v>
      </c>
      <c r="B51" s="41" t="s">
        <v>382</v>
      </c>
      <c r="C51" s="41" t="s">
        <v>383</v>
      </c>
      <c r="D51" s="41" t="s">
        <v>384</v>
      </c>
      <c r="E51" s="41" t="s">
        <v>385</v>
      </c>
      <c r="F51" s="41" t="s">
        <v>386</v>
      </c>
      <c r="G51" s="41" t="s">
        <v>387</v>
      </c>
      <c r="H51" s="41" t="s">
        <v>89</v>
      </c>
      <c r="I51" s="41">
        <v>32</v>
      </c>
      <c r="J51" s="41" t="s">
        <v>388</v>
      </c>
      <c r="K51" s="41">
        <v>5342</v>
      </c>
      <c r="L51" s="41">
        <v>3</v>
      </c>
      <c r="M51" s="41">
        <v>342</v>
      </c>
      <c r="N51" s="41" t="s">
        <v>258</v>
      </c>
      <c r="O51" s="41"/>
    </row>
    <row r="52" spans="1:15" ht="22.5" customHeight="1">
      <c r="A52" s="42">
        <v>45779.899759340275</v>
      </c>
      <c r="B52" s="41" t="s">
        <v>389</v>
      </c>
      <c r="C52" s="41" t="s">
        <v>346</v>
      </c>
      <c r="D52" s="41" t="s">
        <v>390</v>
      </c>
      <c r="E52" s="41" t="s">
        <v>391</v>
      </c>
      <c r="F52" s="41" t="s">
        <v>392</v>
      </c>
      <c r="G52" s="41" t="s">
        <v>393</v>
      </c>
      <c r="H52" s="41" t="s">
        <v>89</v>
      </c>
      <c r="I52" s="41">
        <v>43</v>
      </c>
      <c r="J52" s="41">
        <v>4</v>
      </c>
      <c r="K52" s="41">
        <v>452</v>
      </c>
      <c r="L52" s="41">
        <v>43</v>
      </c>
      <c r="M52" s="41">
        <v>5365</v>
      </c>
      <c r="N52" s="41" t="s">
        <v>258</v>
      </c>
      <c r="O52" s="41"/>
    </row>
    <row r="53" spans="1:15" ht="22.5" customHeight="1">
      <c r="A53" s="42">
        <v>45779.902019780093</v>
      </c>
      <c r="B53" s="41" t="s">
        <v>394</v>
      </c>
      <c r="C53" s="41" t="s">
        <v>395</v>
      </c>
      <c r="D53" s="41" t="s">
        <v>396</v>
      </c>
      <c r="E53" s="41" t="s">
        <v>397</v>
      </c>
      <c r="F53" s="41" t="s">
        <v>398</v>
      </c>
      <c r="G53" s="41" t="s">
        <v>399</v>
      </c>
      <c r="H53" s="41" t="s">
        <v>187</v>
      </c>
      <c r="I53" s="41">
        <v>4</v>
      </c>
      <c r="J53" s="41" t="s">
        <v>400</v>
      </c>
      <c r="K53" s="41">
        <v>432</v>
      </c>
      <c r="L53" s="41">
        <v>34</v>
      </c>
      <c r="M53" s="41">
        <v>423</v>
      </c>
      <c r="N53" s="41" t="s">
        <v>258</v>
      </c>
      <c r="O53" s="41"/>
    </row>
    <row r="54" spans="1:15" ht="22.5" customHeight="1">
      <c r="A54" s="42">
        <v>45779.903780960653</v>
      </c>
      <c r="B54" s="41" t="s">
        <v>401</v>
      </c>
      <c r="C54" s="41" t="s">
        <v>402</v>
      </c>
      <c r="D54" s="41" t="s">
        <v>403</v>
      </c>
      <c r="E54" s="41" t="s">
        <v>404</v>
      </c>
      <c r="F54" s="41" t="s">
        <v>403</v>
      </c>
      <c r="G54" s="41" t="s">
        <v>404</v>
      </c>
      <c r="H54" s="41" t="s">
        <v>89</v>
      </c>
      <c r="I54" s="41">
        <v>43</v>
      </c>
      <c r="J54" s="41" t="s">
        <v>405</v>
      </c>
      <c r="K54" s="41">
        <v>534</v>
      </c>
      <c r="L54" s="41">
        <v>34</v>
      </c>
      <c r="M54" s="41">
        <v>243</v>
      </c>
      <c r="N54" s="41" t="s">
        <v>258</v>
      </c>
      <c r="O54" s="41"/>
    </row>
    <row r="55" spans="1:15" ht="22.5" customHeight="1">
      <c r="A55" s="42">
        <v>45779.909551157412</v>
      </c>
      <c r="B55" s="41" t="s">
        <v>406</v>
      </c>
      <c r="C55" s="41" t="s">
        <v>407</v>
      </c>
      <c r="D55" s="41" t="s">
        <v>408</v>
      </c>
      <c r="E55" s="41" t="s">
        <v>380</v>
      </c>
      <c r="F55" s="41" t="s">
        <v>409</v>
      </c>
      <c r="G55" s="41" t="s">
        <v>410</v>
      </c>
      <c r="H55" s="41" t="s">
        <v>89</v>
      </c>
      <c r="I55" s="41">
        <v>3</v>
      </c>
      <c r="J55" s="41" t="s">
        <v>411</v>
      </c>
      <c r="K55" s="41">
        <v>32</v>
      </c>
      <c r="L55" s="41">
        <v>2</v>
      </c>
      <c r="M55" s="41">
        <v>54231</v>
      </c>
      <c r="N55" s="41" t="s">
        <v>258</v>
      </c>
      <c r="O55" s="41"/>
    </row>
    <row r="56" spans="1:15" ht="22.5" customHeight="1">
      <c r="A56" s="42">
        <v>45779.913243599542</v>
      </c>
      <c r="B56" s="41" t="s">
        <v>412</v>
      </c>
      <c r="C56" s="41" t="s">
        <v>413</v>
      </c>
      <c r="D56" s="41" t="s">
        <v>414</v>
      </c>
      <c r="E56" s="41" t="s">
        <v>414</v>
      </c>
      <c r="F56" s="41" t="s">
        <v>415</v>
      </c>
      <c r="G56" s="41" t="s">
        <v>416</v>
      </c>
      <c r="H56" s="41" t="s">
        <v>89</v>
      </c>
      <c r="I56" s="41">
        <v>32</v>
      </c>
      <c r="J56" s="41">
        <v>54</v>
      </c>
      <c r="K56" s="41">
        <v>54</v>
      </c>
      <c r="L56" s="41">
        <v>543</v>
      </c>
      <c r="M56" s="41">
        <v>54</v>
      </c>
      <c r="N56" s="41" t="s">
        <v>258</v>
      </c>
      <c r="O56" s="41"/>
    </row>
    <row r="57" spans="1:15" ht="22.5" customHeight="1">
      <c r="A57" s="42">
        <v>45779.924185775468</v>
      </c>
      <c r="B57" s="41" t="s">
        <v>412</v>
      </c>
      <c r="C57" s="41">
        <v>1</v>
      </c>
      <c r="D57" s="41" t="s">
        <v>417</v>
      </c>
      <c r="E57" s="41" t="s">
        <v>418</v>
      </c>
      <c r="F57" s="41" t="s">
        <v>419</v>
      </c>
      <c r="G57" s="41">
        <v>5234</v>
      </c>
      <c r="H57" s="41" t="s">
        <v>89</v>
      </c>
      <c r="I57" s="41">
        <v>34</v>
      </c>
      <c r="J57" s="41" t="s">
        <v>420</v>
      </c>
      <c r="K57" s="41">
        <v>453645</v>
      </c>
      <c r="L57" s="41">
        <v>24</v>
      </c>
      <c r="M57" s="41">
        <v>3564</v>
      </c>
      <c r="N57" s="41" t="s">
        <v>258</v>
      </c>
      <c r="O57" s="41"/>
    </row>
    <row r="58" spans="1:15" ht="22.5" customHeight="1">
      <c r="A58" s="42">
        <v>45779.929985439812</v>
      </c>
      <c r="B58" s="41" t="s">
        <v>421</v>
      </c>
      <c r="N58" s="41" t="s">
        <v>230</v>
      </c>
      <c r="O58" s="41"/>
    </row>
    <row r="59" spans="1:15" ht="22.5" customHeight="1">
      <c r="A59" s="42">
        <v>45779.930162476856</v>
      </c>
      <c r="B59" s="41" t="s">
        <v>421</v>
      </c>
      <c r="N59" s="41" t="s">
        <v>258</v>
      </c>
      <c r="O59" s="41"/>
    </row>
    <row r="60" spans="1:15" ht="22.5" customHeight="1">
      <c r="A60" s="42">
        <v>45779.939221365741</v>
      </c>
      <c r="B60" s="41" t="s">
        <v>422</v>
      </c>
      <c r="C60" s="41" t="s">
        <v>423</v>
      </c>
      <c r="D60" s="41" t="s">
        <v>424</v>
      </c>
      <c r="E60" s="41" t="s">
        <v>425</v>
      </c>
      <c r="F60" s="41" t="s">
        <v>426</v>
      </c>
      <c r="G60" s="41" t="s">
        <v>427</v>
      </c>
      <c r="H60" s="41" t="s">
        <v>89</v>
      </c>
      <c r="I60" s="41">
        <v>54</v>
      </c>
      <c r="J60" s="41" t="s">
        <v>428</v>
      </c>
      <c r="K60" s="41" t="s">
        <v>429</v>
      </c>
      <c r="L60" s="41" t="s">
        <v>430</v>
      </c>
      <c r="M60" s="41" t="s">
        <v>431</v>
      </c>
      <c r="N60" s="41" t="s">
        <v>230</v>
      </c>
      <c r="O60" s="41"/>
    </row>
    <row r="61" spans="1:15" ht="22.5" customHeight="1">
      <c r="A61" s="42">
        <v>45779.939502928246</v>
      </c>
      <c r="B61" s="41" t="s">
        <v>422</v>
      </c>
      <c r="C61" s="41" t="s">
        <v>432</v>
      </c>
      <c r="D61" s="41" t="s">
        <v>433</v>
      </c>
      <c r="E61" s="41" t="s">
        <v>434</v>
      </c>
      <c r="F61" s="41" t="s">
        <v>434</v>
      </c>
      <c r="G61" s="41" t="s">
        <v>435</v>
      </c>
      <c r="H61" s="41" t="s">
        <v>89</v>
      </c>
      <c r="I61" s="41">
        <v>43</v>
      </c>
      <c r="J61" s="41" t="s">
        <v>436</v>
      </c>
      <c r="K61" s="41">
        <v>43</v>
      </c>
      <c r="L61" s="41">
        <v>54</v>
      </c>
      <c r="M61" s="41">
        <v>453</v>
      </c>
      <c r="N61" s="41" t="s">
        <v>230</v>
      </c>
      <c r="O61" s="41"/>
    </row>
    <row r="62" spans="1:15" ht="22.5" customHeight="1">
      <c r="A62" s="42">
        <v>45779.939768263888</v>
      </c>
      <c r="B62" s="41" t="s">
        <v>422</v>
      </c>
      <c r="C62" s="41" t="s">
        <v>437</v>
      </c>
      <c r="D62" s="41" t="s">
        <v>438</v>
      </c>
      <c r="E62" s="41" t="s">
        <v>439</v>
      </c>
      <c r="F62" s="41" t="s">
        <v>440</v>
      </c>
      <c r="G62" s="41" t="s">
        <v>437</v>
      </c>
      <c r="H62" s="41" t="s">
        <v>187</v>
      </c>
      <c r="I62" s="41">
        <v>3</v>
      </c>
      <c r="J62" s="41">
        <v>3</v>
      </c>
      <c r="K62" s="41">
        <v>34</v>
      </c>
      <c r="L62" s="41">
        <v>3</v>
      </c>
      <c r="M62" s="41">
        <v>342</v>
      </c>
      <c r="N62" s="41" t="s">
        <v>258</v>
      </c>
      <c r="O62" s="41"/>
    </row>
    <row r="63" spans="1:15" ht="22.5" customHeight="1">
      <c r="A63" s="42">
        <v>45779.943110057866</v>
      </c>
      <c r="B63" s="41" t="s">
        <v>441</v>
      </c>
      <c r="C63" s="41" t="s">
        <v>442</v>
      </c>
      <c r="D63" s="41" t="s">
        <v>443</v>
      </c>
      <c r="E63" s="41" t="s">
        <v>444</v>
      </c>
      <c r="F63" s="41" t="s">
        <v>445</v>
      </c>
      <c r="G63" s="41" t="s">
        <v>446</v>
      </c>
      <c r="H63" s="41" t="s">
        <v>89</v>
      </c>
      <c r="I63" s="41" t="s">
        <v>447</v>
      </c>
      <c r="J63" s="41" t="s">
        <v>446</v>
      </c>
      <c r="K63" s="41" t="s">
        <v>448</v>
      </c>
      <c r="L63" s="41" t="s">
        <v>448</v>
      </c>
      <c r="M63" s="41">
        <v>654</v>
      </c>
      <c r="N63" s="41" t="s">
        <v>258</v>
      </c>
      <c r="O63" s="41"/>
    </row>
    <row r="64" spans="1:15" ht="22.5" customHeight="1">
      <c r="A64" s="42">
        <v>45779.944942939816</v>
      </c>
      <c r="B64" s="41" t="s">
        <v>449</v>
      </c>
      <c r="C64" s="41" t="s">
        <v>450</v>
      </c>
      <c r="D64" s="41" t="s">
        <v>451</v>
      </c>
      <c r="E64" s="41" t="s">
        <v>452</v>
      </c>
      <c r="F64" s="41" t="s">
        <v>453</v>
      </c>
      <c r="G64" s="41" t="s">
        <v>454</v>
      </c>
      <c r="H64" s="41" t="s">
        <v>89</v>
      </c>
      <c r="I64" s="41" t="s">
        <v>437</v>
      </c>
      <c r="J64" s="41" t="s">
        <v>455</v>
      </c>
      <c r="K64" s="41" t="s">
        <v>456</v>
      </c>
      <c r="L64" s="41">
        <v>3</v>
      </c>
      <c r="M64" s="41">
        <v>234</v>
      </c>
      <c r="N64" s="41" t="s">
        <v>230</v>
      </c>
      <c r="O64" s="41"/>
    </row>
    <row r="65" spans="1:15" ht="22.5" customHeight="1">
      <c r="A65" s="42">
        <v>45779.945269733798</v>
      </c>
      <c r="B65" s="41" t="s">
        <v>449</v>
      </c>
      <c r="C65" s="41" t="s">
        <v>457</v>
      </c>
      <c r="D65" s="41" t="s">
        <v>249</v>
      </c>
      <c r="E65" s="41" t="s">
        <v>437</v>
      </c>
      <c r="F65" s="41" t="s">
        <v>454</v>
      </c>
      <c r="G65" s="41" t="s">
        <v>437</v>
      </c>
      <c r="H65" s="41" t="s">
        <v>89</v>
      </c>
      <c r="I65" s="41" t="s">
        <v>249</v>
      </c>
      <c r="J65" s="41" t="s">
        <v>239</v>
      </c>
      <c r="K65" s="41" t="s">
        <v>447</v>
      </c>
      <c r="L65" s="41">
        <v>3</v>
      </c>
      <c r="M65" s="41">
        <v>432</v>
      </c>
      <c r="N65" s="41" t="s">
        <v>258</v>
      </c>
      <c r="O65" s="41"/>
    </row>
    <row r="66" spans="1:15" ht="22.5" customHeight="1">
      <c r="A66" s="42">
        <v>45779.946088379627</v>
      </c>
      <c r="B66" s="41" t="s">
        <v>449</v>
      </c>
      <c r="N66" s="41" t="s">
        <v>258</v>
      </c>
      <c r="O66" s="41"/>
    </row>
    <row r="67" spans="1:15" ht="22.5" customHeight="1">
      <c r="A67" s="42">
        <v>45779.949591226847</v>
      </c>
      <c r="B67" s="41" t="s">
        <v>458</v>
      </c>
      <c r="C67" s="41" t="s">
        <v>395</v>
      </c>
      <c r="D67" s="41" t="s">
        <v>459</v>
      </c>
      <c r="E67" s="41" t="s">
        <v>460</v>
      </c>
      <c r="F67" s="41" t="s">
        <v>461</v>
      </c>
      <c r="G67" s="41" t="s">
        <v>462</v>
      </c>
      <c r="H67" s="41" t="s">
        <v>89</v>
      </c>
      <c r="I67" s="41" t="s">
        <v>462</v>
      </c>
      <c r="J67" s="41" t="s">
        <v>463</v>
      </c>
      <c r="K67" s="41">
        <v>34</v>
      </c>
      <c r="L67" s="41">
        <v>34</v>
      </c>
      <c r="M67" s="41">
        <v>234</v>
      </c>
      <c r="N67" s="41" t="s">
        <v>258</v>
      </c>
      <c r="O67" s="41"/>
    </row>
    <row r="68" spans="1:15" ht="22.5" customHeight="1">
      <c r="A68" s="42">
        <v>45779.965917106485</v>
      </c>
      <c r="B68" s="41">
        <v>777</v>
      </c>
      <c r="C68" s="41" t="s">
        <v>464</v>
      </c>
      <c r="D68" s="41" t="s">
        <v>465</v>
      </c>
      <c r="E68" s="41" t="s">
        <v>466</v>
      </c>
      <c r="F68" s="41" t="s">
        <v>466</v>
      </c>
      <c r="G68" s="41" t="s">
        <v>467</v>
      </c>
      <c r="H68" s="41" t="s">
        <v>89</v>
      </c>
      <c r="I68" s="41" t="s">
        <v>468</v>
      </c>
      <c r="J68" s="41" t="s">
        <v>469</v>
      </c>
      <c r="K68" s="41" t="s">
        <v>470</v>
      </c>
      <c r="L68" s="41">
        <v>34</v>
      </c>
      <c r="M68" s="41">
        <v>54345</v>
      </c>
      <c r="N68" s="41" t="s">
        <v>258</v>
      </c>
      <c r="O68" s="41"/>
    </row>
    <row r="69" spans="1:15" ht="22.5" customHeight="1">
      <c r="A69" s="42">
        <v>45779.969976851848</v>
      </c>
      <c r="B69" s="41" t="s">
        <v>471</v>
      </c>
      <c r="C69" s="41" t="s">
        <v>472</v>
      </c>
      <c r="D69" s="41" t="s">
        <v>472</v>
      </c>
      <c r="E69" s="41" t="s">
        <v>472</v>
      </c>
      <c r="F69" s="41" t="s">
        <v>472</v>
      </c>
      <c r="G69" s="41" t="s">
        <v>472</v>
      </c>
      <c r="H69" s="41" t="s">
        <v>89</v>
      </c>
      <c r="I69" s="41">
        <v>2</v>
      </c>
      <c r="J69" s="41" t="s">
        <v>472</v>
      </c>
      <c r="K69" s="41" t="s">
        <v>472</v>
      </c>
      <c r="L69" s="41">
        <v>4</v>
      </c>
      <c r="M69" s="41">
        <v>342</v>
      </c>
      <c r="N69" s="41" t="s">
        <v>230</v>
      </c>
      <c r="O69" s="41"/>
    </row>
    <row r="70" spans="1:15" ht="22.5" customHeight="1">
      <c r="A70" s="42">
        <v>45779.970256006942</v>
      </c>
      <c r="B70" s="41" t="s">
        <v>471</v>
      </c>
      <c r="C70" s="41" t="s">
        <v>473</v>
      </c>
      <c r="D70" s="41" t="s">
        <v>473</v>
      </c>
      <c r="E70" s="41" t="s">
        <v>473</v>
      </c>
      <c r="F70" s="41" t="s">
        <v>473</v>
      </c>
      <c r="G70" s="41" t="s">
        <v>473</v>
      </c>
      <c r="H70" s="41" t="s">
        <v>187</v>
      </c>
      <c r="I70" s="41" t="s">
        <v>473</v>
      </c>
      <c r="J70" s="41" t="s">
        <v>473</v>
      </c>
      <c r="K70" s="41" t="s">
        <v>473</v>
      </c>
      <c r="L70" s="41" t="s">
        <v>473</v>
      </c>
      <c r="M70" s="41" t="s">
        <v>473</v>
      </c>
      <c r="N70" s="41" t="s">
        <v>258</v>
      </c>
      <c r="O70" s="41"/>
    </row>
    <row r="71" spans="1:15" ht="22.5" customHeight="1">
      <c r="A71" s="42">
        <v>45779.971277222226</v>
      </c>
      <c r="B71" s="41">
        <v>465</v>
      </c>
      <c r="M71" s="41">
        <v>654</v>
      </c>
      <c r="N71" s="41" t="s">
        <v>230</v>
      </c>
      <c r="O71" s="41"/>
    </row>
    <row r="72" spans="1:15" ht="22.5" customHeight="1">
      <c r="A72" s="42">
        <v>45779.971418252317</v>
      </c>
      <c r="B72" s="41">
        <v>465</v>
      </c>
      <c r="M72" s="41">
        <v>6543</v>
      </c>
      <c r="N72" s="41" t="s">
        <v>258</v>
      </c>
      <c r="O72" s="41"/>
    </row>
    <row r="73" spans="1:15" ht="22.5" customHeight="1">
      <c r="A73" s="42">
        <v>45779.979134097222</v>
      </c>
      <c r="B73" s="41" t="s">
        <v>474</v>
      </c>
      <c r="M73" s="41">
        <v>6543</v>
      </c>
      <c r="N73" s="41" t="s">
        <v>230</v>
      </c>
      <c r="O73" s="41"/>
    </row>
    <row r="74" spans="1:15" ht="22.5" customHeight="1">
      <c r="A74" s="42">
        <v>45779.979270868054</v>
      </c>
      <c r="B74" s="41" t="s">
        <v>474</v>
      </c>
      <c r="M74" s="41">
        <v>5433</v>
      </c>
      <c r="N74" s="41" t="s">
        <v>258</v>
      </c>
      <c r="O74" s="41"/>
    </row>
    <row r="75" spans="1:15" ht="22.5" customHeight="1">
      <c r="A75" s="42">
        <v>45779.981145451384</v>
      </c>
      <c r="B75" s="41" t="s">
        <v>475</v>
      </c>
      <c r="M75" s="41">
        <v>3455</v>
      </c>
      <c r="N75" s="41" t="s">
        <v>230</v>
      </c>
      <c r="O75" s="41"/>
    </row>
    <row r="76" spans="1:15" ht="22.5" customHeight="1">
      <c r="A76" s="42">
        <v>45779.98125611111</v>
      </c>
      <c r="B76" s="41" t="s">
        <v>475</v>
      </c>
      <c r="M76" s="41">
        <v>3245</v>
      </c>
      <c r="N76" s="41" t="s">
        <v>258</v>
      </c>
      <c r="O76" s="41"/>
    </row>
    <row r="77" spans="1:15" ht="22.5" customHeight="1">
      <c r="A77" s="42">
        <v>45779.982421493056</v>
      </c>
      <c r="B77" s="41" t="s">
        <v>220</v>
      </c>
      <c r="M77" s="41">
        <v>5432</v>
      </c>
      <c r="N77" s="41" t="s">
        <v>230</v>
      </c>
      <c r="O77" s="41"/>
    </row>
    <row r="78" spans="1:15" ht="22.5" customHeight="1">
      <c r="A78" s="42">
        <v>45779.982530243054</v>
      </c>
      <c r="B78" s="41" t="s">
        <v>220</v>
      </c>
      <c r="M78" s="41">
        <v>5433</v>
      </c>
      <c r="N78" s="41" t="s">
        <v>258</v>
      </c>
      <c r="O78" s="41"/>
    </row>
    <row r="79" spans="1:15" ht="22.5" customHeight="1">
      <c r="A79" s="42">
        <v>45779.988247488422</v>
      </c>
      <c r="B79" s="41">
        <v>403377</v>
      </c>
      <c r="C79" s="41">
        <v>4343</v>
      </c>
      <c r="D79" s="41" t="s">
        <v>476</v>
      </c>
      <c r="E79" s="41" t="s">
        <v>477</v>
      </c>
      <c r="F79" s="41" t="s">
        <v>478</v>
      </c>
      <c r="G79" s="41" t="s">
        <v>478</v>
      </c>
      <c r="H79" s="41" t="s">
        <v>89</v>
      </c>
      <c r="I79" s="41" t="s">
        <v>479</v>
      </c>
      <c r="J79" s="41" t="s">
        <v>480</v>
      </c>
      <c r="K79" s="41" t="s">
        <v>481</v>
      </c>
      <c r="L79" s="41" t="s">
        <v>482</v>
      </c>
      <c r="M79" s="41">
        <v>4332</v>
      </c>
      <c r="N79" s="41" t="s">
        <v>230</v>
      </c>
      <c r="O79" s="41"/>
    </row>
    <row r="80" spans="1:15" ht="22.5" customHeight="1">
      <c r="A80" s="42">
        <v>45779.988586539352</v>
      </c>
      <c r="B80" s="41">
        <v>403377</v>
      </c>
      <c r="C80" s="41">
        <v>12</v>
      </c>
      <c r="D80" s="41" t="s">
        <v>483</v>
      </c>
      <c r="E80" s="41" t="s">
        <v>484</v>
      </c>
      <c r="F80" s="41" t="s">
        <v>482</v>
      </c>
      <c r="G80" s="41" t="s">
        <v>482</v>
      </c>
      <c r="H80" s="41" t="s">
        <v>89</v>
      </c>
      <c r="I80" s="41" t="s">
        <v>485</v>
      </c>
      <c r="J80" s="41" t="s">
        <v>486</v>
      </c>
      <c r="K80" s="41" t="s">
        <v>487</v>
      </c>
      <c r="L80" s="41" t="s">
        <v>478</v>
      </c>
      <c r="M80" s="41">
        <v>4355</v>
      </c>
      <c r="N80" s="41" t="s">
        <v>258</v>
      </c>
      <c r="O80" s="41"/>
    </row>
    <row r="81" spans="1:15" ht="22.5" customHeight="1">
      <c r="A81" s="42">
        <v>45779.991006307871</v>
      </c>
      <c r="B81" s="41">
        <v>403377</v>
      </c>
      <c r="C81" s="41" t="s">
        <v>466</v>
      </c>
      <c r="D81" s="41" t="s">
        <v>466</v>
      </c>
      <c r="E81" s="41" t="s">
        <v>488</v>
      </c>
      <c r="F81" s="41" t="s">
        <v>489</v>
      </c>
      <c r="G81" s="41" t="s">
        <v>490</v>
      </c>
      <c r="H81" s="41" t="s">
        <v>89</v>
      </c>
      <c r="I81" s="41" t="s">
        <v>467</v>
      </c>
      <c r="J81" s="41" t="s">
        <v>491</v>
      </c>
      <c r="K81" s="41" t="s">
        <v>491</v>
      </c>
      <c r="L81" s="41" t="s">
        <v>492</v>
      </c>
      <c r="M81" s="41" t="s">
        <v>487</v>
      </c>
      <c r="N81" s="41" t="s">
        <v>258</v>
      </c>
      <c r="O81" s="41"/>
    </row>
    <row r="82" spans="1:15" ht="22.5" customHeight="1">
      <c r="A82" s="42">
        <v>45779.99480591435</v>
      </c>
      <c r="B82" s="41">
        <v>403377</v>
      </c>
      <c r="C82" s="41" t="s">
        <v>493</v>
      </c>
      <c r="D82" s="41" t="s">
        <v>494</v>
      </c>
      <c r="E82" s="41" t="s">
        <v>495</v>
      </c>
      <c r="F82" s="41" t="s">
        <v>496</v>
      </c>
      <c r="G82" s="41" t="s">
        <v>497</v>
      </c>
      <c r="H82" s="41" t="s">
        <v>187</v>
      </c>
      <c r="I82" s="41">
        <v>654</v>
      </c>
      <c r="J82" s="41">
        <v>543</v>
      </c>
      <c r="K82" s="41">
        <v>564</v>
      </c>
      <c r="L82" s="41">
        <v>56</v>
      </c>
      <c r="M82" s="41">
        <v>6544</v>
      </c>
      <c r="N82" s="41" t="s">
        <v>258</v>
      </c>
      <c r="O82" s="41"/>
    </row>
    <row r="83" spans="1:15" ht="22.5" customHeight="1">
      <c r="A83" s="42">
        <v>45780.005621192133</v>
      </c>
      <c r="B83" s="41" t="s">
        <v>498</v>
      </c>
      <c r="C83" s="41" t="s">
        <v>499</v>
      </c>
      <c r="D83" s="41" t="s">
        <v>500</v>
      </c>
      <c r="E83" s="41" t="s">
        <v>501</v>
      </c>
      <c r="F83" s="41" t="s">
        <v>499</v>
      </c>
      <c r="G83" s="41" t="s">
        <v>485</v>
      </c>
      <c r="H83" s="41" t="s">
        <v>89</v>
      </c>
      <c r="I83" s="41" t="s">
        <v>485</v>
      </c>
      <c r="J83" s="41" t="s">
        <v>501</v>
      </c>
      <c r="K83" s="41" t="s">
        <v>501</v>
      </c>
      <c r="L83" s="41" t="s">
        <v>502</v>
      </c>
      <c r="M83" s="41">
        <v>5432</v>
      </c>
      <c r="N83" s="41" t="s">
        <v>258</v>
      </c>
      <c r="O83" s="41"/>
    </row>
    <row r="84" spans="1:15" ht="22.5" customHeight="1">
      <c r="A84" s="42">
        <v>45780.519219733796</v>
      </c>
      <c r="B84" s="41" t="s">
        <v>503</v>
      </c>
      <c r="C84" s="41">
        <v>32</v>
      </c>
      <c r="D84" s="41" t="s">
        <v>504</v>
      </c>
      <c r="E84" s="41" t="s">
        <v>505</v>
      </c>
      <c r="F84" s="41" t="s">
        <v>506</v>
      </c>
      <c r="G84" s="41">
        <v>5432</v>
      </c>
      <c r="H84" s="41" t="s">
        <v>89</v>
      </c>
      <c r="I84" s="41">
        <v>34</v>
      </c>
      <c r="J84" s="41" t="s">
        <v>507</v>
      </c>
      <c r="K84" s="41">
        <v>5234</v>
      </c>
      <c r="L84" s="41">
        <v>32</v>
      </c>
      <c r="M84" s="41">
        <v>534</v>
      </c>
      <c r="N84" s="41" t="s">
        <v>230</v>
      </c>
      <c r="O84" s="41"/>
    </row>
    <row r="85" spans="1:15" ht="22.5" customHeight="1">
      <c r="A85" s="42">
        <v>45780.51965047454</v>
      </c>
      <c r="B85" s="41" t="s">
        <v>503</v>
      </c>
      <c r="C85" s="41" t="s">
        <v>508</v>
      </c>
      <c r="D85" s="41" t="s">
        <v>509</v>
      </c>
      <c r="E85" s="41" t="s">
        <v>510</v>
      </c>
      <c r="F85" s="41" t="s">
        <v>346</v>
      </c>
      <c r="G85" s="41" t="s">
        <v>511</v>
      </c>
      <c r="H85" s="41" t="s">
        <v>89</v>
      </c>
      <c r="I85" s="41">
        <v>342</v>
      </c>
      <c r="J85" s="41" t="s">
        <v>356</v>
      </c>
      <c r="K85" s="41" t="s">
        <v>512</v>
      </c>
      <c r="L85" s="41">
        <v>23</v>
      </c>
      <c r="M85" s="41">
        <v>24354</v>
      </c>
      <c r="N85" s="41" t="s">
        <v>258</v>
      </c>
      <c r="O85" s="41"/>
    </row>
    <row r="86" spans="1:15" ht="22.5" customHeight="1">
      <c r="A86" s="42">
        <v>45780.520621238422</v>
      </c>
      <c r="B86" s="41" t="s">
        <v>503</v>
      </c>
      <c r="C86" s="41" t="s">
        <v>396</v>
      </c>
      <c r="D86" s="41" t="s">
        <v>513</v>
      </c>
      <c r="E86" s="41" t="s">
        <v>514</v>
      </c>
      <c r="F86" s="41" t="s">
        <v>515</v>
      </c>
      <c r="G86" s="41" t="s">
        <v>516</v>
      </c>
      <c r="H86" s="41" t="s">
        <v>187</v>
      </c>
      <c r="I86" s="41">
        <v>43</v>
      </c>
      <c r="J86" s="41" t="s">
        <v>374</v>
      </c>
      <c r="K86" s="41">
        <v>34352</v>
      </c>
      <c r="L86" s="41">
        <v>4</v>
      </c>
      <c r="M86" s="41">
        <v>42334</v>
      </c>
      <c r="N86" s="41" t="s">
        <v>258</v>
      </c>
      <c r="O86" s="41"/>
    </row>
    <row r="87" spans="1:15" ht="22.5" customHeight="1">
      <c r="A87" s="42">
        <v>45780.529990625</v>
      </c>
      <c r="B87" s="41" t="s">
        <v>517</v>
      </c>
      <c r="C87" s="41" t="s">
        <v>518</v>
      </c>
      <c r="D87" s="41" t="s">
        <v>519</v>
      </c>
      <c r="E87" s="41" t="s">
        <v>520</v>
      </c>
      <c r="F87" s="41" t="s">
        <v>521</v>
      </c>
      <c r="G87" s="41" t="s">
        <v>522</v>
      </c>
      <c r="H87" s="41" t="s">
        <v>89</v>
      </c>
      <c r="I87" s="41" t="s">
        <v>523</v>
      </c>
      <c r="J87" s="41" t="s">
        <v>523</v>
      </c>
      <c r="K87" s="41" t="s">
        <v>524</v>
      </c>
      <c r="L87" s="41" t="s">
        <v>523</v>
      </c>
      <c r="M87" s="41" t="s">
        <v>523</v>
      </c>
      <c r="N87" s="41" t="s">
        <v>258</v>
      </c>
      <c r="O87" s="41"/>
    </row>
    <row r="88" spans="1:15" ht="22.5" customHeight="1">
      <c r="A88" s="42">
        <v>45780.532081921294</v>
      </c>
      <c r="B88" s="41" t="s">
        <v>525</v>
      </c>
      <c r="C88" s="41" t="s">
        <v>526</v>
      </c>
      <c r="D88" s="41" t="s">
        <v>527</v>
      </c>
      <c r="E88" s="41" t="s">
        <v>528</v>
      </c>
      <c r="F88" s="41" t="s">
        <v>479</v>
      </c>
      <c r="G88" s="41" t="s">
        <v>529</v>
      </c>
      <c r="H88" s="41" t="s">
        <v>89</v>
      </c>
      <c r="I88" s="41" t="s">
        <v>530</v>
      </c>
      <c r="J88" s="41" t="s">
        <v>531</v>
      </c>
      <c r="K88" s="41" t="s">
        <v>532</v>
      </c>
      <c r="L88" s="41" t="s">
        <v>533</v>
      </c>
      <c r="M88" s="41" t="s">
        <v>534</v>
      </c>
      <c r="N88" s="41" t="s">
        <v>230</v>
      </c>
      <c r="O88" s="41"/>
    </row>
    <row r="89" spans="1:15" ht="22.5" customHeight="1">
      <c r="A89" s="42">
        <v>45780.53239743055</v>
      </c>
      <c r="B89" s="41" t="s">
        <v>525</v>
      </c>
      <c r="C89" s="41" t="s">
        <v>535</v>
      </c>
      <c r="D89" s="41" t="s">
        <v>403</v>
      </c>
      <c r="E89" s="41" t="s">
        <v>403</v>
      </c>
      <c r="F89" s="41" t="s">
        <v>519</v>
      </c>
      <c r="G89" s="41" t="s">
        <v>536</v>
      </c>
      <c r="H89" s="41" t="s">
        <v>89</v>
      </c>
      <c r="I89" s="41" t="s">
        <v>537</v>
      </c>
      <c r="J89" s="41" t="s">
        <v>522</v>
      </c>
      <c r="K89" s="41" t="s">
        <v>538</v>
      </c>
      <c r="L89" s="41" t="s">
        <v>520</v>
      </c>
      <c r="M89" s="41">
        <v>443</v>
      </c>
      <c r="N89" s="41" t="s">
        <v>258</v>
      </c>
      <c r="O89" s="41"/>
    </row>
    <row r="90" spans="1:15" ht="22.5" customHeight="1">
      <c r="A90" s="42">
        <v>45780.537706423609</v>
      </c>
      <c r="B90" s="41" t="s">
        <v>539</v>
      </c>
      <c r="C90" s="41" t="s">
        <v>540</v>
      </c>
      <c r="D90" s="41" t="s">
        <v>541</v>
      </c>
      <c r="E90" s="41" t="s">
        <v>542</v>
      </c>
      <c r="F90" s="41" t="s">
        <v>543</v>
      </c>
      <c r="G90" s="41" t="s">
        <v>544</v>
      </c>
      <c r="H90" s="41" t="s">
        <v>89</v>
      </c>
      <c r="I90" s="41">
        <v>46</v>
      </c>
      <c r="J90" s="41" t="s">
        <v>545</v>
      </c>
      <c r="K90" s="41" t="s">
        <v>546</v>
      </c>
      <c r="L90" s="41" t="s">
        <v>547</v>
      </c>
      <c r="M90" s="41">
        <v>4533</v>
      </c>
      <c r="N90" s="41" t="s">
        <v>258</v>
      </c>
      <c r="O90" s="41"/>
    </row>
    <row r="91" spans="1:15" ht="22.5" customHeight="1">
      <c r="A91" s="42">
        <v>45780.543442349532</v>
      </c>
      <c r="B91" s="41" t="s">
        <v>548</v>
      </c>
      <c r="C91" s="41" t="s">
        <v>356</v>
      </c>
      <c r="D91" s="41" t="s">
        <v>549</v>
      </c>
      <c r="E91" s="41" t="s">
        <v>550</v>
      </c>
      <c r="F91" s="41" t="s">
        <v>551</v>
      </c>
      <c r="G91" s="41" t="s">
        <v>549</v>
      </c>
      <c r="H91" s="41" t="s">
        <v>89</v>
      </c>
      <c r="I91" s="41" t="s">
        <v>549</v>
      </c>
      <c r="J91" s="41" t="s">
        <v>313</v>
      </c>
      <c r="K91" s="41" t="s">
        <v>549</v>
      </c>
      <c r="L91" s="41" t="s">
        <v>313</v>
      </c>
      <c r="M91" s="41">
        <v>32334</v>
      </c>
      <c r="N91" s="41" t="s">
        <v>258</v>
      </c>
      <c r="O91" s="41"/>
    </row>
    <row r="92" spans="1:15" ht="22.5" customHeight="1">
      <c r="A92" s="42">
        <v>45780.55053349537</v>
      </c>
      <c r="B92" s="41" t="s">
        <v>552</v>
      </c>
      <c r="N92" s="41" t="s">
        <v>258</v>
      </c>
      <c r="O92" s="41"/>
    </row>
    <row r="93" spans="1:15" ht="22.5" customHeight="1">
      <c r="A93" s="42">
        <v>45780.552358402776</v>
      </c>
      <c r="B93" s="41" t="s">
        <v>553</v>
      </c>
      <c r="C93" s="41" t="s">
        <v>554</v>
      </c>
      <c r="D93" s="41" t="s">
        <v>222</v>
      </c>
      <c r="E93" s="41" t="s">
        <v>98</v>
      </c>
      <c r="F93" s="41" t="s">
        <v>555</v>
      </c>
      <c r="G93" s="41" t="s">
        <v>189</v>
      </c>
      <c r="H93" s="41" t="s">
        <v>89</v>
      </c>
      <c r="I93" s="41" t="s">
        <v>189</v>
      </c>
      <c r="J93" s="41" t="s">
        <v>189</v>
      </c>
      <c r="K93" s="41" t="s">
        <v>189</v>
      </c>
      <c r="L93" s="41" t="s">
        <v>458</v>
      </c>
      <c r="M93" s="41">
        <v>4333</v>
      </c>
      <c r="N93" s="41" t="s">
        <v>230</v>
      </c>
      <c r="O93" s="41"/>
    </row>
    <row r="94" spans="1:15" ht="22.5" customHeight="1">
      <c r="A94" s="42">
        <v>45780.553105439816</v>
      </c>
      <c r="B94" s="41" t="s">
        <v>553</v>
      </c>
      <c r="C94" s="41" t="s">
        <v>556</v>
      </c>
      <c r="D94" s="41" t="s">
        <v>556</v>
      </c>
      <c r="E94" s="41" t="s">
        <v>557</v>
      </c>
      <c r="F94" s="41" t="s">
        <v>558</v>
      </c>
      <c r="G94" s="41" t="s">
        <v>559</v>
      </c>
      <c r="H94" s="41" t="s">
        <v>187</v>
      </c>
      <c r="I94" s="41" t="s">
        <v>188</v>
      </c>
      <c r="J94" s="41" t="s">
        <v>560</v>
      </c>
      <c r="K94" s="41" t="s">
        <v>458</v>
      </c>
      <c r="L94" s="41" t="s">
        <v>561</v>
      </c>
      <c r="M94" s="41">
        <v>4324</v>
      </c>
      <c r="N94" s="41" t="s">
        <v>230</v>
      </c>
      <c r="O94" s="41"/>
    </row>
    <row r="95" spans="1:15" ht="22.5" customHeight="1">
      <c r="A95" s="42">
        <v>45780.558198449071</v>
      </c>
      <c r="B95" s="41" t="s">
        <v>553</v>
      </c>
      <c r="M95" s="41">
        <v>3423</v>
      </c>
      <c r="N95" s="41" t="s">
        <v>258</v>
      </c>
      <c r="O95" s="41"/>
    </row>
    <row r="96" spans="1:15" ht="22.5" customHeight="1">
      <c r="A96" s="42">
        <v>45780.55896101852</v>
      </c>
      <c r="B96" s="41" t="s">
        <v>553</v>
      </c>
      <c r="M96" s="41">
        <v>42343</v>
      </c>
      <c r="N96" s="41" t="s">
        <v>258</v>
      </c>
      <c r="O96" s="41"/>
    </row>
    <row r="97" spans="1:15" ht="22.5" customHeight="1">
      <c r="A97" s="42">
        <v>45780.559867523145</v>
      </c>
      <c r="B97" s="41" t="s">
        <v>553</v>
      </c>
      <c r="M97" s="41">
        <v>4332</v>
      </c>
      <c r="N97" s="41" t="s">
        <v>258</v>
      </c>
      <c r="O97" s="41"/>
    </row>
    <row r="98" spans="1:15" ht="22.5" customHeight="1">
      <c r="A98" s="42">
        <v>45780.561539409726</v>
      </c>
      <c r="B98" s="41" t="s">
        <v>553</v>
      </c>
      <c r="C98" s="41" t="s">
        <v>189</v>
      </c>
      <c r="D98" s="41" t="s">
        <v>189</v>
      </c>
      <c r="E98" s="41" t="s">
        <v>562</v>
      </c>
      <c r="F98" s="41" t="s">
        <v>563</v>
      </c>
      <c r="G98" s="41" t="s">
        <v>564</v>
      </c>
      <c r="H98" s="41" t="s">
        <v>187</v>
      </c>
      <c r="I98" s="41">
        <v>34</v>
      </c>
      <c r="J98" s="41" t="s">
        <v>485</v>
      </c>
      <c r="K98" s="41" t="s">
        <v>565</v>
      </c>
      <c r="L98" s="41" t="s">
        <v>565</v>
      </c>
      <c r="M98" s="41">
        <v>5433</v>
      </c>
      <c r="N98" s="41" t="s">
        <v>258</v>
      </c>
      <c r="O98" s="41"/>
    </row>
    <row r="99" spans="1:15" ht="22.5" customHeight="1">
      <c r="A99" s="42">
        <v>45780.955749976856</v>
      </c>
      <c r="B99" s="41" t="s">
        <v>566</v>
      </c>
      <c r="C99" s="41" t="s">
        <v>549</v>
      </c>
      <c r="D99" s="41" t="s">
        <v>567</v>
      </c>
      <c r="E99" s="41" t="s">
        <v>549</v>
      </c>
      <c r="F99" s="41" t="s">
        <v>549</v>
      </c>
      <c r="G99" s="41" t="s">
        <v>499</v>
      </c>
      <c r="H99" s="41" t="s">
        <v>89</v>
      </c>
      <c r="I99" s="41" t="s">
        <v>485</v>
      </c>
      <c r="J99" s="41" t="s">
        <v>568</v>
      </c>
      <c r="K99" s="41" t="s">
        <v>568</v>
      </c>
      <c r="L99" s="41" t="s">
        <v>568</v>
      </c>
      <c r="M99" s="41">
        <v>5433</v>
      </c>
      <c r="N99" s="41" t="s">
        <v>230</v>
      </c>
      <c r="O99" s="41"/>
    </row>
    <row r="100" spans="1:15" ht="22.5" customHeight="1">
      <c r="A100" s="42">
        <v>45780.955982592597</v>
      </c>
      <c r="B100" s="41" t="s">
        <v>569</v>
      </c>
      <c r="C100" s="41" t="s">
        <v>568</v>
      </c>
      <c r="D100" s="41" t="s">
        <v>568</v>
      </c>
      <c r="E100" s="41" t="s">
        <v>570</v>
      </c>
      <c r="F100" s="41" t="s">
        <v>568</v>
      </c>
      <c r="G100" s="41" t="s">
        <v>568</v>
      </c>
      <c r="H100" s="41" t="s">
        <v>89</v>
      </c>
      <c r="I100" s="41" t="s">
        <v>568</v>
      </c>
      <c r="J100" s="41" t="s">
        <v>568</v>
      </c>
      <c r="K100" s="41" t="s">
        <v>568</v>
      </c>
      <c r="L100" s="41" t="s">
        <v>571</v>
      </c>
      <c r="M100" s="41">
        <v>5663</v>
      </c>
      <c r="N100" s="41" t="s">
        <v>258</v>
      </c>
      <c r="O100" s="41"/>
    </row>
    <row r="101" spans="1:15" ht="22.5" customHeight="1">
      <c r="A101" s="42">
        <v>45780.956561134255</v>
      </c>
      <c r="B101" s="41" t="s">
        <v>566</v>
      </c>
      <c r="C101" s="41" t="s">
        <v>572</v>
      </c>
      <c r="D101" s="41" t="s">
        <v>573</v>
      </c>
      <c r="E101" s="41" t="s">
        <v>574</v>
      </c>
      <c r="F101" s="41" t="s">
        <v>575</v>
      </c>
      <c r="G101" s="41" t="s">
        <v>576</v>
      </c>
      <c r="H101" s="41" t="s">
        <v>89</v>
      </c>
      <c r="I101" s="41" t="s">
        <v>574</v>
      </c>
      <c r="J101" s="41" t="s">
        <v>577</v>
      </c>
      <c r="K101" s="41" t="s">
        <v>577</v>
      </c>
      <c r="L101" s="41" t="s">
        <v>577</v>
      </c>
      <c r="M101" s="41">
        <v>5432</v>
      </c>
      <c r="N101" s="41" t="s">
        <v>258</v>
      </c>
      <c r="O101" s="41"/>
    </row>
    <row r="102" spans="1:15" ht="22.5" customHeight="1">
      <c r="A102" s="42">
        <v>45780.972802048607</v>
      </c>
      <c r="B102" s="41" t="s">
        <v>566</v>
      </c>
      <c r="C102" s="41" t="s">
        <v>313</v>
      </c>
      <c r="D102" s="41" t="s">
        <v>578</v>
      </c>
      <c r="E102" s="41" t="s">
        <v>543</v>
      </c>
      <c r="F102" s="41" t="s">
        <v>579</v>
      </c>
      <c r="G102" s="41" t="s">
        <v>580</v>
      </c>
      <c r="H102" s="41" t="s">
        <v>89</v>
      </c>
      <c r="I102" s="41" t="s">
        <v>581</v>
      </c>
      <c r="J102" s="41" t="s">
        <v>582</v>
      </c>
      <c r="K102" s="41" t="s">
        <v>583</v>
      </c>
      <c r="L102" s="41" t="s">
        <v>584</v>
      </c>
      <c r="M102" s="41">
        <v>1433</v>
      </c>
      <c r="N102" s="41" t="s">
        <v>258</v>
      </c>
      <c r="O102" s="41"/>
    </row>
    <row r="103" spans="1:15" ht="22.5" customHeight="1">
      <c r="A103" s="42">
        <v>45780.974503171296</v>
      </c>
      <c r="B103" s="41" t="s">
        <v>566</v>
      </c>
      <c r="C103" s="41" t="s">
        <v>585</v>
      </c>
      <c r="D103" s="41" t="s">
        <v>521</v>
      </c>
      <c r="E103" s="41" t="s">
        <v>313</v>
      </c>
      <c r="F103" s="41" t="s">
        <v>586</v>
      </c>
      <c r="G103" s="41" t="s">
        <v>587</v>
      </c>
      <c r="H103" s="41" t="s">
        <v>89</v>
      </c>
      <c r="I103" s="41" t="s">
        <v>588</v>
      </c>
      <c r="J103" s="41" t="s">
        <v>589</v>
      </c>
      <c r="K103" s="41" t="s">
        <v>590</v>
      </c>
      <c r="L103" s="41" t="s">
        <v>591</v>
      </c>
      <c r="M103" s="41">
        <v>2456</v>
      </c>
      <c r="N103" s="41" t="s">
        <v>258</v>
      </c>
      <c r="O103" s="41"/>
    </row>
    <row r="104" spans="1:15" ht="22.5" customHeight="1">
      <c r="A104" s="42">
        <v>45780.977283912041</v>
      </c>
      <c r="B104" s="41" t="s">
        <v>566</v>
      </c>
      <c r="C104" s="41" t="s">
        <v>592</v>
      </c>
      <c r="D104" s="41" t="s">
        <v>593</v>
      </c>
      <c r="E104" s="41" t="s">
        <v>543</v>
      </c>
      <c r="F104" s="41" t="s">
        <v>549</v>
      </c>
      <c r="G104" s="41" t="s">
        <v>521</v>
      </c>
      <c r="H104" s="41" t="s">
        <v>89</v>
      </c>
      <c r="I104" s="41" t="s">
        <v>594</v>
      </c>
      <c r="J104" s="41" t="s">
        <v>595</v>
      </c>
      <c r="K104" s="41" t="s">
        <v>403</v>
      </c>
      <c r="L104" s="41" t="s">
        <v>596</v>
      </c>
      <c r="M104" s="41">
        <v>4535</v>
      </c>
      <c r="N104" s="41" t="s">
        <v>258</v>
      </c>
      <c r="O104" s="41"/>
    </row>
    <row r="105" spans="1:15" ht="22.5" customHeight="1">
      <c r="A105" s="42">
        <v>45780.983491296298</v>
      </c>
      <c r="B105" s="41" t="s">
        <v>566</v>
      </c>
      <c r="C105" s="41" t="s">
        <v>368</v>
      </c>
      <c r="D105" s="41" t="s">
        <v>597</v>
      </c>
      <c r="E105" s="41" t="s">
        <v>598</v>
      </c>
      <c r="F105" s="41" t="s">
        <v>598</v>
      </c>
      <c r="G105" s="41" t="s">
        <v>598</v>
      </c>
      <c r="H105" s="41" t="s">
        <v>89</v>
      </c>
      <c r="I105" s="41">
        <v>65</v>
      </c>
      <c r="J105" s="41" t="s">
        <v>598</v>
      </c>
      <c r="K105" s="41" t="s">
        <v>543</v>
      </c>
      <c r="L105" s="41" t="s">
        <v>543</v>
      </c>
      <c r="M105" s="41">
        <v>6543</v>
      </c>
      <c r="N105" s="41" t="s">
        <v>258</v>
      </c>
      <c r="O105" s="41"/>
    </row>
    <row r="106" spans="1:15" ht="22.5" customHeight="1">
      <c r="A106" s="42">
        <v>45780.984382187497</v>
      </c>
      <c r="B106" s="41" t="s">
        <v>566</v>
      </c>
      <c r="C106" s="41" t="s">
        <v>599</v>
      </c>
      <c r="D106" s="41" t="s">
        <v>600</v>
      </c>
      <c r="E106" s="41" t="s">
        <v>368</v>
      </c>
      <c r="F106" s="41" t="s">
        <v>601</v>
      </c>
      <c r="G106" s="41" t="s">
        <v>602</v>
      </c>
      <c r="H106" s="41" t="s">
        <v>187</v>
      </c>
      <c r="I106" s="41" t="s">
        <v>603</v>
      </c>
      <c r="J106" s="41" t="s">
        <v>604</v>
      </c>
      <c r="K106" s="41" t="s">
        <v>605</v>
      </c>
      <c r="L106" s="41" t="s">
        <v>606</v>
      </c>
      <c r="M106" s="41">
        <v>5342</v>
      </c>
      <c r="N106" s="41" t="s">
        <v>258</v>
      </c>
      <c r="O106" s="41"/>
    </row>
    <row r="107" spans="1:15" ht="22.5" customHeight="1">
      <c r="A107" s="42">
        <v>45780.995610162034</v>
      </c>
      <c r="B107" s="41" t="s">
        <v>566</v>
      </c>
      <c r="C107" s="41" t="s">
        <v>607</v>
      </c>
      <c r="D107" s="41" t="s">
        <v>608</v>
      </c>
      <c r="E107" s="41" t="s">
        <v>501</v>
      </c>
      <c r="F107" s="41" t="s">
        <v>609</v>
      </c>
      <c r="G107" s="41" t="s">
        <v>501</v>
      </c>
      <c r="H107" s="41" t="s">
        <v>89</v>
      </c>
      <c r="I107" s="41" t="s">
        <v>501</v>
      </c>
      <c r="J107" s="41" t="s">
        <v>501</v>
      </c>
      <c r="K107" s="41" t="s">
        <v>574</v>
      </c>
      <c r="L107" s="41" t="s">
        <v>501</v>
      </c>
      <c r="M107" s="41">
        <v>3422</v>
      </c>
      <c r="N107" s="41" t="s">
        <v>258</v>
      </c>
      <c r="O107" s="41"/>
    </row>
    <row r="108" spans="1:15" ht="22.5" customHeight="1">
      <c r="A108" s="42">
        <v>45783.636329513887</v>
      </c>
      <c r="B108" s="41" t="s">
        <v>610</v>
      </c>
      <c r="C108" s="41" t="s">
        <v>611</v>
      </c>
      <c r="D108" s="41" t="s">
        <v>609</v>
      </c>
      <c r="E108" s="41" t="s">
        <v>609</v>
      </c>
      <c r="F108" s="41" t="s">
        <v>609</v>
      </c>
      <c r="G108" s="41" t="s">
        <v>612</v>
      </c>
      <c r="H108" s="41" t="s">
        <v>89</v>
      </c>
      <c r="I108" s="41" t="s">
        <v>609</v>
      </c>
      <c r="J108" s="41" t="s">
        <v>479</v>
      </c>
      <c r="K108" s="41" t="s">
        <v>551</v>
      </c>
      <c r="L108" s="41" t="s">
        <v>550</v>
      </c>
      <c r="M108" s="41">
        <v>6454563</v>
      </c>
      <c r="N108" s="41" t="s">
        <v>230</v>
      </c>
      <c r="O108" s="41"/>
    </row>
    <row r="109" spans="1:15" ht="22.5" customHeight="1">
      <c r="A109" s="42">
        <v>45783.636622118051</v>
      </c>
      <c r="B109" s="41" t="s">
        <v>610</v>
      </c>
      <c r="C109" s="41" t="s">
        <v>613</v>
      </c>
      <c r="D109" s="41" t="s">
        <v>614</v>
      </c>
      <c r="E109" s="41" t="s">
        <v>615</v>
      </c>
      <c r="F109" s="41" t="s">
        <v>614</v>
      </c>
      <c r="G109" s="41" t="s">
        <v>616</v>
      </c>
      <c r="H109" s="41" t="s">
        <v>89</v>
      </c>
      <c r="I109" s="41" t="s">
        <v>616</v>
      </c>
      <c r="J109" s="41" t="s">
        <v>617</v>
      </c>
      <c r="K109" s="41" t="s">
        <v>618</v>
      </c>
      <c r="L109" s="41" t="s">
        <v>617</v>
      </c>
      <c r="M109" s="41">
        <v>5435</v>
      </c>
      <c r="N109" s="41" t="s">
        <v>258</v>
      </c>
      <c r="O109" s="41"/>
    </row>
    <row r="110" spans="1:15" ht="22.5" customHeight="1">
      <c r="A110" s="42">
        <v>45783.6543441088</v>
      </c>
      <c r="B110" s="41" t="s">
        <v>610</v>
      </c>
      <c r="C110" s="41" t="s">
        <v>619</v>
      </c>
      <c r="D110" s="41" t="s">
        <v>620</v>
      </c>
      <c r="E110" s="41" t="s">
        <v>574</v>
      </c>
      <c r="F110" s="41" t="s">
        <v>621</v>
      </c>
      <c r="G110" s="41" t="s">
        <v>574</v>
      </c>
      <c r="H110" s="41" t="s">
        <v>89</v>
      </c>
      <c r="I110" s="41" t="s">
        <v>219</v>
      </c>
      <c r="J110" s="41" t="s">
        <v>577</v>
      </c>
      <c r="K110" s="41" t="s">
        <v>574</v>
      </c>
      <c r="L110" s="41" t="s">
        <v>577</v>
      </c>
      <c r="M110" s="41" t="s">
        <v>622</v>
      </c>
      <c r="N110" s="41" t="s">
        <v>258</v>
      </c>
      <c r="O110" s="41"/>
    </row>
    <row r="111" spans="1:15" ht="22.5" customHeight="1">
      <c r="A111" s="42">
        <v>45783.679377627312</v>
      </c>
      <c r="B111" s="41" t="s">
        <v>610</v>
      </c>
      <c r="C111" s="41" t="s">
        <v>623</v>
      </c>
      <c r="D111" s="41" t="s">
        <v>624</v>
      </c>
      <c r="E111" s="41" t="s">
        <v>621</v>
      </c>
      <c r="F111" s="41" t="s">
        <v>619</v>
      </c>
      <c r="G111" s="41" t="s">
        <v>619</v>
      </c>
      <c r="H111" s="41" t="s">
        <v>89</v>
      </c>
      <c r="I111" s="41" t="s">
        <v>621</v>
      </c>
      <c r="J111" s="41" t="s">
        <v>621</v>
      </c>
      <c r="K111" s="41" t="s">
        <v>622</v>
      </c>
      <c r="L111" s="41" t="s">
        <v>621</v>
      </c>
      <c r="M111" s="41">
        <v>2345</v>
      </c>
      <c r="N111" s="41" t="s">
        <v>258</v>
      </c>
      <c r="O111" s="41"/>
    </row>
    <row r="112" spans="1:15" ht="22.5" customHeight="1">
      <c r="A112" s="42">
        <v>45783.681572905094</v>
      </c>
      <c r="B112" s="41" t="s">
        <v>625</v>
      </c>
      <c r="C112" s="41" t="s">
        <v>626</v>
      </c>
      <c r="D112" s="41" t="s">
        <v>479</v>
      </c>
      <c r="E112" s="41" t="s">
        <v>567</v>
      </c>
      <c r="F112" s="41" t="s">
        <v>627</v>
      </c>
      <c r="G112" s="41" t="s">
        <v>479</v>
      </c>
      <c r="H112" s="41" t="s">
        <v>89</v>
      </c>
      <c r="I112" s="41" t="s">
        <v>501</v>
      </c>
      <c r="J112" s="41" t="s">
        <v>501</v>
      </c>
      <c r="K112" s="41" t="s">
        <v>501</v>
      </c>
      <c r="L112" s="41" t="s">
        <v>499</v>
      </c>
      <c r="M112" s="41">
        <v>3243</v>
      </c>
      <c r="N112" s="41" t="s">
        <v>258</v>
      </c>
      <c r="O112" s="41"/>
    </row>
    <row r="113" spans="1:15" ht="22.5" customHeight="1">
      <c r="A113" s="42">
        <v>45783.682742569443</v>
      </c>
      <c r="B113" s="41" t="s">
        <v>625</v>
      </c>
      <c r="C113" s="41" t="s">
        <v>609</v>
      </c>
      <c r="D113" s="41" t="s">
        <v>628</v>
      </c>
      <c r="E113" s="41" t="s">
        <v>629</v>
      </c>
      <c r="F113" s="41" t="s">
        <v>383</v>
      </c>
      <c r="G113" s="41" t="s">
        <v>628</v>
      </c>
      <c r="H113" s="41" t="s">
        <v>89</v>
      </c>
      <c r="I113" s="41" t="s">
        <v>628</v>
      </c>
      <c r="J113" s="41" t="s">
        <v>628</v>
      </c>
      <c r="K113" s="41" t="s">
        <v>574</v>
      </c>
      <c r="L113" s="41" t="s">
        <v>624</v>
      </c>
      <c r="M113" s="41">
        <v>2453</v>
      </c>
      <c r="N113" s="41" t="s">
        <v>258</v>
      </c>
      <c r="O113" s="41"/>
    </row>
    <row r="114" spans="1:15" ht="22.5" customHeight="1">
      <c r="A114" s="42">
        <v>45783.689035381947</v>
      </c>
      <c r="B114" s="41" t="s">
        <v>625</v>
      </c>
      <c r="C114" s="41" t="s">
        <v>630</v>
      </c>
      <c r="D114" s="41" t="s">
        <v>549</v>
      </c>
      <c r="E114" s="41" t="s">
        <v>631</v>
      </c>
      <c r="F114" s="41" t="s">
        <v>568</v>
      </c>
      <c r="G114" s="41" t="s">
        <v>568</v>
      </c>
      <c r="H114" s="41" t="s">
        <v>89</v>
      </c>
      <c r="I114" s="41" t="s">
        <v>632</v>
      </c>
      <c r="J114" s="41" t="s">
        <v>632</v>
      </c>
      <c r="K114" s="41" t="s">
        <v>633</v>
      </c>
      <c r="L114" s="41" t="s">
        <v>634</v>
      </c>
      <c r="M114" s="41">
        <v>3553</v>
      </c>
      <c r="N114" s="41" t="s">
        <v>258</v>
      </c>
      <c r="O114" s="41"/>
    </row>
    <row r="115" spans="1:15" ht="22.5" customHeight="1">
      <c r="A115" s="42">
        <v>45783.69398167824</v>
      </c>
      <c r="B115" s="41" t="s">
        <v>635</v>
      </c>
      <c r="C115" s="41" t="s">
        <v>636</v>
      </c>
      <c r="D115" s="41" t="s">
        <v>636</v>
      </c>
      <c r="E115" s="41" t="s">
        <v>636</v>
      </c>
      <c r="F115" s="41" t="s">
        <v>636</v>
      </c>
      <c r="G115" s="41" t="s">
        <v>636</v>
      </c>
      <c r="H115" s="41" t="s">
        <v>89</v>
      </c>
      <c r="I115" s="41" t="s">
        <v>636</v>
      </c>
      <c r="J115" s="41" t="s">
        <v>551</v>
      </c>
      <c r="K115" s="41" t="s">
        <v>549</v>
      </c>
      <c r="L115" s="41" t="s">
        <v>637</v>
      </c>
      <c r="M115" s="41">
        <v>5432</v>
      </c>
      <c r="N115" s="41" t="s">
        <v>258</v>
      </c>
      <c r="O115" s="41"/>
    </row>
    <row r="116" spans="1:15" ht="22.5" customHeight="1">
      <c r="A116" s="42">
        <v>45783.696542939811</v>
      </c>
      <c r="B116" s="41" t="s">
        <v>625</v>
      </c>
      <c r="C116" s="41" t="s">
        <v>638</v>
      </c>
      <c r="D116" s="41" t="s">
        <v>549</v>
      </c>
      <c r="E116" s="41" t="s">
        <v>313</v>
      </c>
      <c r="F116" s="41" t="s">
        <v>639</v>
      </c>
      <c r="G116" s="41" t="s">
        <v>640</v>
      </c>
      <c r="H116" s="41" t="s">
        <v>89</v>
      </c>
      <c r="I116" s="41" t="s">
        <v>641</v>
      </c>
      <c r="J116" s="41" t="s">
        <v>640</v>
      </c>
      <c r="K116" s="41" t="s">
        <v>356</v>
      </c>
      <c r="L116" s="41" t="s">
        <v>637</v>
      </c>
      <c r="M116" s="41">
        <v>4532</v>
      </c>
      <c r="N116" s="41" t="s">
        <v>258</v>
      </c>
      <c r="O116" s="41"/>
    </row>
    <row r="117" spans="1:15" ht="22.5" customHeight="1">
      <c r="A117" s="42">
        <v>45783.708075821763</v>
      </c>
      <c r="B117" s="41" t="s">
        <v>625</v>
      </c>
      <c r="C117" s="41" t="s">
        <v>642</v>
      </c>
      <c r="D117" s="41" t="s">
        <v>568</v>
      </c>
      <c r="E117" s="41" t="s">
        <v>631</v>
      </c>
      <c r="F117" s="41" t="s">
        <v>643</v>
      </c>
      <c r="G117" s="41" t="s">
        <v>644</v>
      </c>
      <c r="H117" s="41" t="s">
        <v>89</v>
      </c>
      <c r="I117" s="41" t="s">
        <v>645</v>
      </c>
      <c r="J117" s="41" t="s">
        <v>568</v>
      </c>
      <c r="K117" s="41" t="s">
        <v>568</v>
      </c>
      <c r="L117" s="41" t="s">
        <v>578</v>
      </c>
      <c r="M117" s="41">
        <v>5435</v>
      </c>
      <c r="N117" s="41" t="s">
        <v>258</v>
      </c>
      <c r="O117" s="41"/>
    </row>
    <row r="118" spans="1:15" ht="22.5" customHeight="1">
      <c r="A118" s="42">
        <v>45783.709114074074</v>
      </c>
      <c r="B118" s="41" t="s">
        <v>646</v>
      </c>
      <c r="C118" s="41" t="s">
        <v>647</v>
      </c>
      <c r="D118" s="41" t="s">
        <v>647</v>
      </c>
      <c r="E118" s="41" t="s">
        <v>647</v>
      </c>
      <c r="F118" s="41" t="s">
        <v>647</v>
      </c>
      <c r="G118" s="41" t="s">
        <v>648</v>
      </c>
      <c r="H118" s="41" t="s">
        <v>89</v>
      </c>
      <c r="I118" s="41" t="s">
        <v>649</v>
      </c>
      <c r="J118" s="41" t="s">
        <v>647</v>
      </c>
      <c r="K118" s="41" t="s">
        <v>648</v>
      </c>
      <c r="L118" s="41" t="s">
        <v>650</v>
      </c>
      <c r="M118" s="41">
        <v>2532</v>
      </c>
      <c r="N118" s="41" t="s">
        <v>258</v>
      </c>
      <c r="O118" s="41"/>
    </row>
    <row r="119" spans="1:15" ht="22.5" customHeight="1">
      <c r="A119" s="42">
        <v>45783.710437118054</v>
      </c>
      <c r="B119" s="41" t="s">
        <v>646</v>
      </c>
      <c r="C119" s="41" t="s">
        <v>609</v>
      </c>
      <c r="D119" s="41" t="s">
        <v>551</v>
      </c>
      <c r="E119" s="41" t="s">
        <v>550</v>
      </c>
      <c r="F119" s="41" t="s">
        <v>550</v>
      </c>
      <c r="G119" s="41" t="s">
        <v>501</v>
      </c>
      <c r="H119" s="41" t="s">
        <v>89</v>
      </c>
      <c r="I119" s="41" t="s">
        <v>501</v>
      </c>
      <c r="J119" s="41" t="s">
        <v>501</v>
      </c>
      <c r="K119" s="41" t="s">
        <v>550</v>
      </c>
      <c r="L119" s="41" t="s">
        <v>651</v>
      </c>
      <c r="M119" s="41">
        <v>2455</v>
      </c>
      <c r="N119" s="41" t="s">
        <v>258</v>
      </c>
      <c r="O119" s="41"/>
    </row>
    <row r="120" spans="1:15" ht="22.5" customHeight="1">
      <c r="A120" s="42">
        <v>45783.713253715279</v>
      </c>
      <c r="B120" s="41" t="s">
        <v>646</v>
      </c>
      <c r="C120" s="41" t="s">
        <v>652</v>
      </c>
      <c r="D120" s="41" t="s">
        <v>501</v>
      </c>
      <c r="E120" s="41" t="s">
        <v>501</v>
      </c>
      <c r="F120" s="41" t="s">
        <v>501</v>
      </c>
      <c r="G120" s="41" t="s">
        <v>501</v>
      </c>
      <c r="H120" s="41" t="s">
        <v>89</v>
      </c>
      <c r="I120" s="41" t="s">
        <v>501</v>
      </c>
      <c r="J120" s="41" t="s">
        <v>501</v>
      </c>
      <c r="K120" s="41" t="s">
        <v>501</v>
      </c>
      <c r="L120" s="41" t="s">
        <v>647</v>
      </c>
      <c r="M120" s="41">
        <v>3324</v>
      </c>
      <c r="N120" s="41" t="s">
        <v>258</v>
      </c>
      <c r="O120" s="41"/>
    </row>
    <row r="121" spans="1:15" ht="22.5" customHeight="1">
      <c r="A121" s="42">
        <v>45783.71438568287</v>
      </c>
      <c r="B121" s="41" t="s">
        <v>646</v>
      </c>
      <c r="M121" s="41">
        <v>4354</v>
      </c>
      <c r="N121" s="41" t="s">
        <v>258</v>
      </c>
      <c r="O121" s="41"/>
    </row>
    <row r="122" spans="1:15" ht="22.5" customHeight="1">
      <c r="A122" s="42">
        <v>45783.715759618055</v>
      </c>
      <c r="B122" s="41" t="s">
        <v>646</v>
      </c>
      <c r="M122" s="41">
        <v>3345</v>
      </c>
      <c r="N122" s="41" t="s">
        <v>258</v>
      </c>
      <c r="O122" s="41"/>
    </row>
    <row r="123" spans="1:15" ht="22.5" customHeight="1">
      <c r="A123" s="42">
        <v>45783.718299490742</v>
      </c>
      <c r="B123" s="41" t="s">
        <v>646</v>
      </c>
      <c r="C123" s="41" t="s">
        <v>619</v>
      </c>
      <c r="D123" s="41" t="s">
        <v>501</v>
      </c>
      <c r="E123" s="41" t="s">
        <v>501</v>
      </c>
      <c r="M123" s="41">
        <v>4343</v>
      </c>
      <c r="N123" s="41" t="s">
        <v>258</v>
      </c>
      <c r="O123" s="41"/>
    </row>
    <row r="124" spans="1:15" ht="22.5" customHeight="1">
      <c r="A124" s="42">
        <v>45783.718974710646</v>
      </c>
      <c r="B124" s="41" t="s">
        <v>646</v>
      </c>
      <c r="M124" s="41">
        <v>3455</v>
      </c>
      <c r="N124" s="41" t="s">
        <v>258</v>
      </c>
      <c r="O124" s="41"/>
    </row>
    <row r="125" spans="1:15" ht="22.5" customHeight="1">
      <c r="A125" s="42">
        <v>45783.719865335646</v>
      </c>
      <c r="B125" s="41" t="s">
        <v>646</v>
      </c>
      <c r="M125" s="41">
        <v>3357</v>
      </c>
      <c r="N125" s="41" t="s">
        <v>258</v>
      </c>
      <c r="O125" s="41"/>
    </row>
    <row r="126" spans="1:15" ht="22.5" customHeight="1">
      <c r="A126" s="42">
        <v>45783.720915833328</v>
      </c>
      <c r="B126" s="41" t="s">
        <v>653</v>
      </c>
      <c r="C126" s="41" t="s">
        <v>222</v>
      </c>
      <c r="D126" s="41" t="s">
        <v>479</v>
      </c>
      <c r="E126" s="41" t="s">
        <v>549</v>
      </c>
      <c r="M126" s="41">
        <v>4345</v>
      </c>
      <c r="N126" s="41" t="s">
        <v>258</v>
      </c>
      <c r="O126" s="41"/>
    </row>
    <row r="127" spans="1:15" ht="22.5" customHeight="1">
      <c r="A127" s="42">
        <v>45783.721847881941</v>
      </c>
      <c r="B127" s="41" t="s">
        <v>653</v>
      </c>
      <c r="C127" s="41" t="s">
        <v>485</v>
      </c>
      <c r="D127" s="41" t="s">
        <v>216</v>
      </c>
      <c r="H127" s="41" t="s">
        <v>187</v>
      </c>
      <c r="M127" s="41">
        <v>3456</v>
      </c>
      <c r="N127" s="41" t="s">
        <v>258</v>
      </c>
      <c r="O127" s="41"/>
    </row>
    <row r="128" spans="1:15" ht="22.5" customHeight="1">
      <c r="A128" s="42">
        <v>45783.72289863426</v>
      </c>
      <c r="B128" s="41" t="s">
        <v>653</v>
      </c>
      <c r="H128" s="41" t="s">
        <v>89</v>
      </c>
      <c r="M128" s="41">
        <v>3435</v>
      </c>
      <c r="N128" s="41" t="s">
        <v>258</v>
      </c>
      <c r="O128" s="41"/>
    </row>
    <row r="129" spans="1:15" ht="22.5" customHeight="1">
      <c r="A129" s="42">
        <v>45783.724537106478</v>
      </c>
      <c r="B129" s="41" t="s">
        <v>654</v>
      </c>
      <c r="C129" s="41">
        <v>1</v>
      </c>
      <c r="D129" s="41" t="s">
        <v>655</v>
      </c>
      <c r="E129" s="41" t="s">
        <v>656</v>
      </c>
      <c r="F129" s="41" t="s">
        <v>657</v>
      </c>
      <c r="G129" s="41">
        <v>354643</v>
      </c>
      <c r="H129" s="41" t="s">
        <v>89</v>
      </c>
      <c r="I129" s="41">
        <v>23</v>
      </c>
      <c r="J129" s="41" t="s">
        <v>222</v>
      </c>
      <c r="K129" s="41">
        <v>234</v>
      </c>
      <c r="L129" s="41">
        <v>43</v>
      </c>
      <c r="M129" s="41">
        <v>5343</v>
      </c>
      <c r="N129" s="41" t="s">
        <v>230</v>
      </c>
      <c r="O129" s="41"/>
    </row>
    <row r="130" spans="1:15" ht="22.5" customHeight="1">
      <c r="A130" s="42">
        <v>45783.724883379633</v>
      </c>
      <c r="B130" s="41" t="s">
        <v>654</v>
      </c>
      <c r="C130" s="41">
        <v>2</v>
      </c>
      <c r="D130" s="41" t="s">
        <v>658</v>
      </c>
      <c r="E130" s="41" t="s">
        <v>659</v>
      </c>
      <c r="F130" s="41" t="s">
        <v>500</v>
      </c>
      <c r="G130" s="41">
        <v>4343</v>
      </c>
      <c r="H130" s="41" t="s">
        <v>89</v>
      </c>
      <c r="I130" s="41">
        <v>3</v>
      </c>
      <c r="J130" s="41" t="s">
        <v>660</v>
      </c>
      <c r="K130" s="41">
        <v>435</v>
      </c>
      <c r="L130" s="41">
        <v>43</v>
      </c>
      <c r="M130" s="41">
        <v>2453</v>
      </c>
      <c r="N130" s="41" t="s">
        <v>230</v>
      </c>
      <c r="O130" s="41"/>
    </row>
    <row r="131" spans="1:15" ht="22.5" customHeight="1">
      <c r="A131" s="42">
        <v>45783.725214618054</v>
      </c>
      <c r="B131" s="41" t="s">
        <v>654</v>
      </c>
      <c r="C131" s="41">
        <v>3</v>
      </c>
      <c r="D131" s="41" t="s">
        <v>661</v>
      </c>
      <c r="E131" s="41" t="s">
        <v>662</v>
      </c>
      <c r="F131" s="41" t="s">
        <v>663</v>
      </c>
      <c r="G131" s="41">
        <v>313454</v>
      </c>
      <c r="H131" s="41" t="s">
        <v>89</v>
      </c>
      <c r="I131" s="41">
        <v>34</v>
      </c>
      <c r="J131" s="41" t="s">
        <v>664</v>
      </c>
      <c r="K131" s="41">
        <v>34423</v>
      </c>
      <c r="L131" s="41">
        <v>24</v>
      </c>
      <c r="M131" s="41">
        <v>2465</v>
      </c>
      <c r="N131" s="41" t="s">
        <v>258</v>
      </c>
      <c r="O131" s="41"/>
    </row>
    <row r="132" spans="1:15" ht="22.5" customHeight="1">
      <c r="A132" s="42">
        <v>45784.307911666663</v>
      </c>
      <c r="B132" s="41" t="s">
        <v>665</v>
      </c>
      <c r="C132" s="41" t="s">
        <v>666</v>
      </c>
      <c r="D132" s="41" t="s">
        <v>667</v>
      </c>
      <c r="E132" s="41" t="s">
        <v>624</v>
      </c>
      <c r="F132" s="41" t="s">
        <v>619</v>
      </c>
      <c r="G132" s="41" t="s">
        <v>668</v>
      </c>
      <c r="H132" s="41" t="s">
        <v>89</v>
      </c>
      <c r="I132" s="41" t="s">
        <v>619</v>
      </c>
      <c r="J132" s="41" t="s">
        <v>574</v>
      </c>
      <c r="K132" s="41" t="s">
        <v>622</v>
      </c>
      <c r="L132" s="41" t="s">
        <v>669</v>
      </c>
      <c r="M132" s="41">
        <v>2456</v>
      </c>
      <c r="N132" s="41" t="s">
        <v>230</v>
      </c>
      <c r="O132" s="41"/>
    </row>
    <row r="133" spans="1:15" ht="22.5" customHeight="1">
      <c r="A133" s="42">
        <v>45784.308407685181</v>
      </c>
      <c r="B133" s="41" t="s">
        <v>665</v>
      </c>
      <c r="C133" s="41" t="s">
        <v>670</v>
      </c>
      <c r="D133" s="41" t="s">
        <v>501</v>
      </c>
      <c r="E133" s="41" t="s">
        <v>577</v>
      </c>
      <c r="F133" s="41" t="s">
        <v>501</v>
      </c>
      <c r="G133" s="41" t="s">
        <v>501</v>
      </c>
      <c r="H133" s="41" t="s">
        <v>89</v>
      </c>
      <c r="I133" s="41" t="s">
        <v>501</v>
      </c>
      <c r="J133" s="41" t="s">
        <v>671</v>
      </c>
      <c r="K133" s="41" t="s">
        <v>222</v>
      </c>
      <c r="L133" s="41" t="s">
        <v>647</v>
      </c>
      <c r="M133" s="41">
        <v>1345</v>
      </c>
      <c r="N133" s="41" t="s">
        <v>258</v>
      </c>
      <c r="O133" s="41"/>
    </row>
    <row r="134" spans="1:15" ht="22.5" customHeight="1">
      <c r="A134" s="42">
        <v>45784.320268495372</v>
      </c>
      <c r="B134" s="41" t="s">
        <v>672</v>
      </c>
      <c r="M134" s="41">
        <v>3423</v>
      </c>
      <c r="N134" s="41" t="s">
        <v>230</v>
      </c>
      <c r="O134" s="41"/>
    </row>
    <row r="135" spans="1:15" ht="22.5" customHeight="1">
      <c r="A135" s="42">
        <v>45784.320557511572</v>
      </c>
      <c r="B135" s="41" t="s">
        <v>672</v>
      </c>
      <c r="M135" s="41">
        <v>55434</v>
      </c>
      <c r="N135" s="41" t="s">
        <v>230</v>
      </c>
      <c r="O135" s="41"/>
    </row>
    <row r="136" spans="1:15" ht="22.5" customHeight="1">
      <c r="A136" s="42">
        <v>45784.320812847218</v>
      </c>
      <c r="B136" s="41" t="s">
        <v>672</v>
      </c>
      <c r="N136" s="41" t="s">
        <v>258</v>
      </c>
      <c r="O136" s="41"/>
    </row>
    <row r="137" spans="1:15" ht="22.5" customHeight="1">
      <c r="A137" s="42">
        <v>45784.505434537037</v>
      </c>
      <c r="B137" s="41" t="s">
        <v>673</v>
      </c>
      <c r="C137" s="41">
        <v>1</v>
      </c>
      <c r="D137" s="41" t="s">
        <v>674</v>
      </c>
      <c r="E137" s="41">
        <v>2003</v>
      </c>
      <c r="F137" s="41" t="s">
        <v>675</v>
      </c>
      <c r="G137" s="41">
        <v>343424</v>
      </c>
      <c r="H137" s="41" t="s">
        <v>89</v>
      </c>
      <c r="I137" s="41">
        <v>4</v>
      </c>
      <c r="J137" s="41" t="s">
        <v>676</v>
      </c>
      <c r="K137" s="41">
        <v>3455</v>
      </c>
      <c r="L137" s="41">
        <v>0</v>
      </c>
      <c r="M137" s="41">
        <v>3000</v>
      </c>
      <c r="N137" s="41" t="s">
        <v>230</v>
      </c>
      <c r="O137" s="41"/>
    </row>
    <row r="138" spans="1:15" ht="22.5" customHeight="1">
      <c r="A138" s="42">
        <v>45784.50610215278</v>
      </c>
      <c r="B138" s="41" t="s">
        <v>673</v>
      </c>
      <c r="C138" s="41" t="s">
        <v>674</v>
      </c>
      <c r="D138" s="41" t="s">
        <v>677</v>
      </c>
      <c r="E138" s="41" t="s">
        <v>678</v>
      </c>
      <c r="F138" s="41" t="s">
        <v>679</v>
      </c>
      <c r="G138" s="41">
        <v>324243</v>
      </c>
      <c r="H138" s="41" t="s">
        <v>187</v>
      </c>
      <c r="I138" s="41">
        <v>13</v>
      </c>
      <c r="J138" s="41" t="s">
        <v>680</v>
      </c>
      <c r="K138" s="41">
        <v>345543</v>
      </c>
      <c r="L138" s="41">
        <v>12</v>
      </c>
      <c r="M138" s="41">
        <v>12000</v>
      </c>
      <c r="N138" s="41" t="s">
        <v>230</v>
      </c>
      <c r="O138" s="41"/>
    </row>
    <row r="139" spans="1:15" ht="22.5" customHeight="1">
      <c r="A139" s="42">
        <v>45784.507017974538</v>
      </c>
      <c r="B139" s="41" t="s">
        <v>673</v>
      </c>
      <c r="C139" s="41" t="s">
        <v>681</v>
      </c>
      <c r="D139" s="41" t="s">
        <v>682</v>
      </c>
      <c r="E139" s="41">
        <v>1002</v>
      </c>
      <c r="F139" s="41" t="s">
        <v>683</v>
      </c>
      <c r="G139" s="41">
        <v>342332</v>
      </c>
      <c r="H139" s="41" t="s">
        <v>89</v>
      </c>
      <c r="I139" s="41">
        <v>34542</v>
      </c>
      <c r="J139" s="41" t="s">
        <v>684</v>
      </c>
      <c r="K139" s="41">
        <v>34434</v>
      </c>
      <c r="L139" s="41" t="s">
        <v>685</v>
      </c>
      <c r="M139" s="41">
        <v>8000</v>
      </c>
      <c r="N139" s="41" t="s">
        <v>258</v>
      </c>
      <c r="O139" s="41"/>
    </row>
    <row r="140" spans="1:15" ht="22.5" customHeight="1">
      <c r="A140" s="42">
        <v>45784.509828055554</v>
      </c>
      <c r="B140" s="41" t="s">
        <v>673</v>
      </c>
      <c r="C140" s="41" t="s">
        <v>686</v>
      </c>
      <c r="D140" s="41" t="s">
        <v>687</v>
      </c>
      <c r="E140" s="41">
        <v>1344</v>
      </c>
      <c r="F140" s="41" t="s">
        <v>688</v>
      </c>
      <c r="G140" s="41" t="s">
        <v>689</v>
      </c>
      <c r="H140" s="41" t="s">
        <v>89</v>
      </c>
      <c r="I140" s="41" t="s">
        <v>690</v>
      </c>
      <c r="J140" s="41" t="s">
        <v>691</v>
      </c>
      <c r="K140" s="41" t="s">
        <v>692</v>
      </c>
      <c r="L140" s="41" t="s">
        <v>501</v>
      </c>
      <c r="M140" s="41">
        <v>3500</v>
      </c>
      <c r="N140" s="41" t="s">
        <v>258</v>
      </c>
      <c r="O140" s="41"/>
    </row>
    <row r="141" spans="1:15" ht="22.5" customHeight="1">
      <c r="A141" s="42">
        <v>45784.534508738427</v>
      </c>
      <c r="B141" s="41" t="s">
        <v>693</v>
      </c>
      <c r="C141" s="41" t="s">
        <v>694</v>
      </c>
      <c r="D141" s="41" t="s">
        <v>695</v>
      </c>
      <c r="E141" s="41" t="s">
        <v>696</v>
      </c>
      <c r="F141" s="41" t="s">
        <v>697</v>
      </c>
      <c r="G141" s="43" t="s">
        <v>698</v>
      </c>
      <c r="H141" s="41" t="s">
        <v>89</v>
      </c>
      <c r="I141" s="41">
        <v>3</v>
      </c>
      <c r="J141" s="41">
        <v>1</v>
      </c>
      <c r="K141" s="41">
        <v>537576756</v>
      </c>
      <c r="L141" s="41">
        <v>0</v>
      </c>
      <c r="M141" s="41">
        <v>75676876876</v>
      </c>
      <c r="N141" s="41" t="s">
        <v>258</v>
      </c>
      <c r="O141" s="41"/>
    </row>
    <row r="142" spans="1:15" ht="22.5" customHeight="1">
      <c r="A142" s="42">
        <v>45801.324728067135</v>
      </c>
      <c r="B142" s="41" t="s">
        <v>699</v>
      </c>
      <c r="N142" s="41" t="s">
        <v>258</v>
      </c>
      <c r="O142" s="41"/>
    </row>
    <row r="143" spans="1:15" ht="22.5" customHeight="1">
      <c r="A143" s="42">
        <v>45814.683963229167</v>
      </c>
      <c r="B143" s="41" t="s">
        <v>333</v>
      </c>
      <c r="N143" s="41" t="s">
        <v>230</v>
      </c>
      <c r="O143" s="41"/>
    </row>
    <row r="144" spans="1:15" ht="22.5" customHeight="1">
      <c r="A144" s="42">
        <v>45824.649940648145</v>
      </c>
      <c r="N144" s="41" t="s">
        <v>230</v>
      </c>
      <c r="O144" s="41" t="s">
        <v>35</v>
      </c>
    </row>
    <row r="145" spans="1:15" ht="22.5" customHeight="1">
      <c r="A145" s="42">
        <v>45824.650306296295</v>
      </c>
      <c r="N145" s="41" t="s">
        <v>230</v>
      </c>
      <c r="O145" s="41" t="s">
        <v>59</v>
      </c>
    </row>
    <row r="146" spans="1:15" ht="22.5" customHeight="1">
      <c r="A146" s="42">
        <v>45824.650767094907</v>
      </c>
      <c r="N146" s="41" t="s">
        <v>230</v>
      </c>
      <c r="O146" s="41" t="s">
        <v>59</v>
      </c>
    </row>
    <row r="147" spans="1:15" ht="22.5" customHeight="1">
      <c r="A147" s="42">
        <v>45824.651197233798</v>
      </c>
      <c r="N147" s="41" t="s">
        <v>258</v>
      </c>
      <c r="O147" s="41" t="s">
        <v>59</v>
      </c>
    </row>
    <row r="148" spans="1:15" ht="22.5" customHeight="1">
      <c r="A148" s="42">
        <v>45824.654876678236</v>
      </c>
      <c r="N148" s="41" t="s">
        <v>258</v>
      </c>
      <c r="O148" s="41" t="s">
        <v>59</v>
      </c>
    </row>
    <row r="149" spans="1:15" ht="22.5" customHeight="1">
      <c r="A149" s="42">
        <v>45824.688890624995</v>
      </c>
      <c r="N149" s="41" t="s">
        <v>230</v>
      </c>
      <c r="O149" s="41" t="s">
        <v>50</v>
      </c>
    </row>
    <row r="150" spans="1:15" ht="22.5" customHeight="1">
      <c r="A150" s="42">
        <v>45826.681609907406</v>
      </c>
      <c r="N150" s="41" t="s">
        <v>230</v>
      </c>
      <c r="O150" s="41" t="s">
        <v>700</v>
      </c>
    </row>
    <row r="151" spans="1:15" ht="22.5" customHeight="1">
      <c r="A151" s="42">
        <v>45826.68271090278</v>
      </c>
      <c r="N151" s="41" t="s">
        <v>230</v>
      </c>
      <c r="O151" s="41" t="s">
        <v>38</v>
      </c>
    </row>
    <row r="152" spans="1:15" ht="22.5" customHeight="1">
      <c r="A152" s="42">
        <v>45826.682961597224</v>
      </c>
      <c r="N152" s="41" t="s">
        <v>230</v>
      </c>
      <c r="O152" s="41" t="s">
        <v>42</v>
      </c>
    </row>
    <row r="153" spans="1:15" ht="22.5" customHeight="1">
      <c r="A153" s="42">
        <v>45826.683127349534</v>
      </c>
      <c r="N153" s="41" t="s">
        <v>230</v>
      </c>
      <c r="O153" s="41" t="s">
        <v>700</v>
      </c>
    </row>
    <row r="154" spans="1:15" ht="22.5" customHeight="1">
      <c r="A154" s="42">
        <v>45826.683344583333</v>
      </c>
      <c r="N154" s="41" t="s">
        <v>230</v>
      </c>
      <c r="O154" s="41" t="s">
        <v>700</v>
      </c>
    </row>
    <row r="155" spans="1:15" ht="22.5" customHeight="1">
      <c r="A155" s="42">
        <v>45826.683540381942</v>
      </c>
      <c r="N155" s="41" t="s">
        <v>258</v>
      </c>
      <c r="O155" s="41" t="s">
        <v>700</v>
      </c>
    </row>
    <row r="156" spans="1:15" ht="22.5" customHeight="1">
      <c r="A156" s="42">
        <v>45826.695758761576</v>
      </c>
      <c r="N156" s="41" t="s">
        <v>230</v>
      </c>
      <c r="O156" s="41" t="s">
        <v>59</v>
      </c>
    </row>
    <row r="157" spans="1:15" ht="22.5" customHeight="1">
      <c r="A157" s="42">
        <v>45826.696206365741</v>
      </c>
      <c r="C157" s="41" t="s">
        <v>701</v>
      </c>
      <c r="N157" s="41" t="s">
        <v>230</v>
      </c>
      <c r="O157" s="41" t="s">
        <v>59</v>
      </c>
    </row>
    <row r="158" spans="1:15" ht="22.5" customHeight="1">
      <c r="A158" s="42">
        <v>45826.697160648153</v>
      </c>
      <c r="C158" s="41" t="s">
        <v>623</v>
      </c>
      <c r="E158" s="41" t="s">
        <v>702</v>
      </c>
      <c r="N158" s="41" t="s">
        <v>230</v>
      </c>
      <c r="O158" s="41" t="s">
        <v>63</v>
      </c>
    </row>
    <row r="159" spans="1:15" ht="22.5" customHeight="1">
      <c r="A159" s="42">
        <v>45826.697400069446</v>
      </c>
      <c r="N159" s="41" t="s">
        <v>258</v>
      </c>
      <c r="O159" s="41" t="s">
        <v>63</v>
      </c>
    </row>
    <row r="160" spans="1:15" ht="22.5" customHeight="1">
      <c r="A160" s="42">
        <v>45826.699333622688</v>
      </c>
      <c r="N160" s="41" t="s">
        <v>258</v>
      </c>
      <c r="O160" s="41" t="s">
        <v>703</v>
      </c>
    </row>
    <row r="161" spans="1:15" ht="22.5" customHeight="1">
      <c r="A161" s="42">
        <v>45826.699849884259</v>
      </c>
      <c r="N161" s="41" t="s">
        <v>230</v>
      </c>
      <c r="O161" s="41" t="s">
        <v>38</v>
      </c>
    </row>
    <row r="162" spans="1:15" ht="22.5" customHeight="1">
      <c r="A162" s="42">
        <v>45826.764337141205</v>
      </c>
      <c r="C162" s="41" t="s">
        <v>704</v>
      </c>
      <c r="D162" s="41" t="s">
        <v>704</v>
      </c>
      <c r="E162" s="41" t="s">
        <v>705</v>
      </c>
      <c r="K162" s="41" t="s">
        <v>501</v>
      </c>
      <c r="N162" s="41" t="s">
        <v>230</v>
      </c>
      <c r="O162" s="41" t="s">
        <v>35</v>
      </c>
    </row>
    <row r="163" spans="1:15" ht="22.5" customHeight="1">
      <c r="A163" s="42">
        <v>45826.783238125005</v>
      </c>
      <c r="N163" s="41" t="s">
        <v>230</v>
      </c>
      <c r="O163" s="41" t="s">
        <v>50</v>
      </c>
    </row>
    <row r="164" spans="1:15" ht="22.5" customHeight="1">
      <c r="A164" s="42">
        <v>45826.784307997688</v>
      </c>
      <c r="N164" s="41" t="s">
        <v>230</v>
      </c>
      <c r="O164" s="41" t="s">
        <v>706</v>
      </c>
    </row>
    <row r="165" spans="1:15" ht="22.5" customHeight="1">
      <c r="A165" s="42">
        <v>45826.784512372687</v>
      </c>
      <c r="N165" s="41" t="s">
        <v>230</v>
      </c>
      <c r="O165" s="41" t="s">
        <v>706</v>
      </c>
    </row>
    <row r="166" spans="1:15" ht="22.5" customHeight="1">
      <c r="A166" s="42">
        <v>45826.785105046292</v>
      </c>
      <c r="N166" s="41" t="s">
        <v>230</v>
      </c>
      <c r="O166" s="41" t="s">
        <v>42</v>
      </c>
    </row>
    <row r="167" spans="1:15" ht="22.5" customHeight="1">
      <c r="A167" s="42">
        <v>45826.786828449069</v>
      </c>
      <c r="N167" s="41" t="s">
        <v>258</v>
      </c>
      <c r="O167" s="41" t="s">
        <v>35</v>
      </c>
    </row>
    <row r="168" spans="1:15" ht="22.5" customHeight="1">
      <c r="A168" s="42">
        <v>45826.787616678237</v>
      </c>
      <c r="N168" s="41" t="s">
        <v>230</v>
      </c>
      <c r="O168" s="41" t="s">
        <v>703</v>
      </c>
    </row>
    <row r="169" spans="1:15" ht="22.5" customHeight="1">
      <c r="A169" s="42">
        <v>45826.788008611111</v>
      </c>
      <c r="N169" s="41" t="s">
        <v>230</v>
      </c>
      <c r="O169" s="41" t="s">
        <v>50</v>
      </c>
    </row>
    <row r="170" spans="1:15" ht="22.5" customHeight="1">
      <c r="A170" s="42">
        <v>45826.800081527777</v>
      </c>
      <c r="N170" s="41" t="s">
        <v>230</v>
      </c>
      <c r="O170" s="41" t="s">
        <v>38</v>
      </c>
    </row>
    <row r="171" spans="1:15" ht="22.5" customHeight="1">
      <c r="A171" s="42">
        <v>45826.902281365736</v>
      </c>
      <c r="C171" s="41" t="s">
        <v>707</v>
      </c>
      <c r="N171" s="41" t="s">
        <v>230</v>
      </c>
      <c r="O171" s="41" t="s">
        <v>59</v>
      </c>
    </row>
    <row r="172" spans="1:15" ht="22.5" customHeight="1">
      <c r="A172" s="42">
        <v>45826.902535983798</v>
      </c>
      <c r="N172" s="41" t="s">
        <v>230</v>
      </c>
      <c r="O172" s="41" t="s">
        <v>59</v>
      </c>
    </row>
    <row r="173" spans="1:15" ht="22.5" customHeight="1">
      <c r="A173" s="42">
        <v>45826.902715879631</v>
      </c>
      <c r="N173" s="41" t="s">
        <v>230</v>
      </c>
      <c r="O173" s="41" t="s">
        <v>50</v>
      </c>
    </row>
    <row r="174" spans="1:15" ht="22.5" customHeight="1">
      <c r="A174" s="42">
        <v>45826.902878414352</v>
      </c>
      <c r="N174" s="41" t="s">
        <v>230</v>
      </c>
      <c r="O174" s="41" t="s">
        <v>708</v>
      </c>
    </row>
    <row r="175" spans="1:15" ht="22.5" customHeight="1">
      <c r="A175" s="42">
        <v>45826.914632893517</v>
      </c>
      <c r="N175" s="41" t="s">
        <v>230</v>
      </c>
      <c r="O175" s="41" t="s">
        <v>709</v>
      </c>
    </row>
    <row r="176" spans="1:15" ht="22.5" customHeight="1">
      <c r="A176" s="42">
        <v>45826.915112592593</v>
      </c>
      <c r="N176" s="41" t="s">
        <v>230</v>
      </c>
      <c r="O176" s="41" t="s">
        <v>710</v>
      </c>
    </row>
    <row r="177" spans="1:15" ht="22.5" customHeight="1">
      <c r="A177" s="42">
        <v>45826.91952560185</v>
      </c>
      <c r="N177" s="41" t="s">
        <v>230</v>
      </c>
      <c r="O177" s="41" t="s">
        <v>711</v>
      </c>
    </row>
    <row r="178" spans="1:15" ht="22.5" customHeight="1">
      <c r="A178" s="42">
        <v>45826.919863067131</v>
      </c>
      <c r="N178" s="41" t="s">
        <v>230</v>
      </c>
      <c r="O178" s="41" t="s">
        <v>712</v>
      </c>
    </row>
    <row r="179" spans="1:15" ht="22.5" customHeight="1">
      <c r="A179" s="42">
        <v>45826.926012627315</v>
      </c>
      <c r="N179" s="41" t="s">
        <v>230</v>
      </c>
      <c r="O179" s="41" t="s">
        <v>713</v>
      </c>
    </row>
    <row r="180" spans="1:15" ht="22.5" customHeight="1">
      <c r="A180" s="42">
        <v>45826.926186979166</v>
      </c>
      <c r="N180" s="41" t="s">
        <v>230</v>
      </c>
      <c r="O180" s="41" t="s">
        <v>713</v>
      </c>
    </row>
    <row r="181" spans="1:15" ht="22.5" customHeight="1">
      <c r="A181" s="42">
        <v>45826.926640590274</v>
      </c>
      <c r="N181" s="41" t="s">
        <v>258</v>
      </c>
      <c r="O181" s="41" t="s">
        <v>713</v>
      </c>
    </row>
    <row r="182" spans="1:15" ht="22.5" customHeight="1">
      <c r="A182" s="42">
        <v>45826.940847650461</v>
      </c>
      <c r="N182" s="41" t="s">
        <v>230</v>
      </c>
      <c r="O182" s="41" t="s">
        <v>713</v>
      </c>
    </row>
    <row r="183" spans="1:15" ht="22.5" customHeight="1">
      <c r="A183" s="42">
        <v>45826.944310543986</v>
      </c>
      <c r="N183" s="41" t="s">
        <v>230</v>
      </c>
      <c r="O183" s="41" t="s">
        <v>714</v>
      </c>
    </row>
    <row r="184" spans="1:15" ht="22.5" customHeight="1">
      <c r="A184" s="42">
        <v>45826.944452766205</v>
      </c>
      <c r="N184" s="41" t="s">
        <v>230</v>
      </c>
      <c r="O184" s="41" t="s">
        <v>714</v>
      </c>
    </row>
    <row r="185" spans="1:15" ht="22.5" customHeight="1">
      <c r="A185" s="42">
        <v>45826.945379027777</v>
      </c>
      <c r="N185" s="41" t="s">
        <v>258</v>
      </c>
      <c r="O185" s="41" t="s">
        <v>714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Z2"/>
  <sheetViews>
    <sheetView workbookViewId="0"/>
  </sheetViews>
  <sheetFormatPr defaultColWidth="12.6640625" defaultRowHeight="15" customHeight="1"/>
  <cols>
    <col min="2" max="2" width="17" customWidth="1"/>
    <col min="4" max="4" width="16.109375" customWidth="1"/>
    <col min="5" max="5" width="24" customWidth="1"/>
    <col min="7" max="7" width="20.33203125" customWidth="1"/>
    <col min="8" max="8" width="19.21875" customWidth="1"/>
    <col min="9" max="9" width="20.109375" customWidth="1"/>
  </cols>
  <sheetData>
    <row r="1" spans="2:26">
      <c r="B1" s="44" t="s">
        <v>715</v>
      </c>
      <c r="C1" s="45" t="s">
        <v>716</v>
      </c>
      <c r="D1" s="45" t="s">
        <v>717</v>
      </c>
      <c r="E1" s="45" t="s">
        <v>718</v>
      </c>
      <c r="F1" s="44" t="s">
        <v>9</v>
      </c>
      <c r="G1" s="44" t="s">
        <v>719</v>
      </c>
      <c r="H1" s="44" t="s">
        <v>720</v>
      </c>
      <c r="I1" s="45" t="s">
        <v>721</v>
      </c>
      <c r="J1" s="46" t="s">
        <v>722</v>
      </c>
      <c r="K1" s="46" t="s">
        <v>723</v>
      </c>
      <c r="L1" s="46" t="s">
        <v>724</v>
      </c>
    </row>
    <row r="2" spans="2:26">
      <c r="B2" s="46" t="s">
        <v>714</v>
      </c>
      <c r="C2" s="46"/>
      <c r="D2" s="46"/>
      <c r="E2" s="46"/>
      <c r="F2" s="46"/>
      <c r="G2" s="46"/>
      <c r="H2" s="46"/>
      <c r="I2" s="46"/>
      <c r="J2" s="46"/>
      <c r="K2" s="46"/>
      <c r="L2" s="46" t="s">
        <v>69</v>
      </c>
      <c r="M2" s="46" t="s">
        <v>70</v>
      </c>
      <c r="N2" s="46" t="s">
        <v>71</v>
      </c>
      <c r="O2" s="46" t="s">
        <v>72</v>
      </c>
      <c r="P2" s="46" t="s">
        <v>37</v>
      </c>
      <c r="Q2" s="46"/>
      <c r="R2" s="46"/>
      <c r="S2" s="46"/>
      <c r="Z2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189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/>
  <cols>
    <col min="1" max="4" width="18.88671875" customWidth="1"/>
    <col min="5" max="5" width="23.109375" customWidth="1"/>
    <col min="6" max="7" width="18.88671875" customWidth="1"/>
    <col min="8" max="8" width="20.6640625" customWidth="1"/>
    <col min="9" max="9" width="19.44140625" customWidth="1"/>
    <col min="10" max="10" width="20.77734375" customWidth="1"/>
    <col min="11" max="19" width="18.88671875" customWidth="1"/>
  </cols>
  <sheetData>
    <row r="1" spans="1:13" ht="22.5" customHeight="1">
      <c r="A1" s="40" t="s">
        <v>73</v>
      </c>
      <c r="B1" s="40" t="s">
        <v>29</v>
      </c>
      <c r="C1" s="40" t="s">
        <v>716</v>
      </c>
      <c r="D1" s="40" t="s">
        <v>717</v>
      </c>
      <c r="E1" s="40" t="s">
        <v>718</v>
      </c>
      <c r="F1" s="40" t="s">
        <v>9</v>
      </c>
      <c r="G1" s="40" t="s">
        <v>34</v>
      </c>
      <c r="H1" s="40" t="s">
        <v>719</v>
      </c>
      <c r="I1" s="40" t="s">
        <v>720</v>
      </c>
      <c r="J1" s="40" t="s">
        <v>721</v>
      </c>
      <c r="K1" s="40" t="s">
        <v>722</v>
      </c>
      <c r="L1" s="40" t="s">
        <v>723</v>
      </c>
      <c r="M1" s="40" t="s">
        <v>724</v>
      </c>
    </row>
    <row r="2" spans="1:13" ht="22.5" customHeight="1">
      <c r="A2" s="42">
        <v>45777.946413969912</v>
      </c>
      <c r="B2" s="41">
        <v>12</v>
      </c>
      <c r="C2" s="41" t="s">
        <v>725</v>
      </c>
      <c r="D2" s="41" t="s">
        <v>726</v>
      </c>
      <c r="E2" s="43" t="s">
        <v>727</v>
      </c>
      <c r="F2" s="41" t="s">
        <v>728</v>
      </c>
      <c r="G2" s="41" t="s">
        <v>729</v>
      </c>
      <c r="H2" s="41" t="s">
        <v>730</v>
      </c>
      <c r="I2" s="41" t="s">
        <v>731</v>
      </c>
      <c r="J2" s="41" t="s">
        <v>732</v>
      </c>
      <c r="K2" s="41"/>
      <c r="L2" s="41"/>
      <c r="M2" s="41"/>
    </row>
    <row r="3" spans="1:13" ht="22.5" customHeight="1">
      <c r="A3" s="42">
        <v>45777.946843958329</v>
      </c>
      <c r="B3" s="41">
        <v>21232</v>
      </c>
      <c r="C3" s="41" t="s">
        <v>733</v>
      </c>
      <c r="D3" s="41" t="s">
        <v>734</v>
      </c>
      <c r="E3" s="41" t="s">
        <v>735</v>
      </c>
      <c r="F3" s="41" t="s">
        <v>736</v>
      </c>
      <c r="G3" s="41" t="s">
        <v>737</v>
      </c>
      <c r="H3" s="41" t="s">
        <v>738</v>
      </c>
      <c r="I3" s="41" t="s">
        <v>739</v>
      </c>
      <c r="J3" s="41" t="s">
        <v>740</v>
      </c>
      <c r="K3" s="41"/>
      <c r="L3" s="41"/>
      <c r="M3" s="41"/>
    </row>
    <row r="4" spans="1:13" ht="22.5" customHeight="1">
      <c r="A4" s="42">
        <v>45777.985263657407</v>
      </c>
      <c r="B4" s="41">
        <v>11</v>
      </c>
      <c r="C4" s="41" t="s">
        <v>741</v>
      </c>
      <c r="D4" s="41" t="s">
        <v>304</v>
      </c>
      <c r="E4" s="41" t="s">
        <v>742</v>
      </c>
      <c r="F4" s="41" t="s">
        <v>743</v>
      </c>
      <c r="G4" s="41" t="s">
        <v>744</v>
      </c>
      <c r="H4" s="41" t="s">
        <v>103</v>
      </c>
      <c r="I4" s="41" t="s">
        <v>745</v>
      </c>
      <c r="J4" s="41" t="s">
        <v>746</v>
      </c>
      <c r="K4" s="41"/>
      <c r="L4" s="41"/>
      <c r="M4" s="41"/>
    </row>
    <row r="5" spans="1:13" ht="22.5" customHeight="1">
      <c r="A5" s="42">
        <v>45778.000767083329</v>
      </c>
      <c r="B5" s="41">
        <v>33</v>
      </c>
      <c r="C5" s="41" t="s">
        <v>747</v>
      </c>
      <c r="D5" s="41" t="s">
        <v>748</v>
      </c>
      <c r="E5" s="41" t="s">
        <v>749</v>
      </c>
      <c r="F5" s="41" t="s">
        <v>750</v>
      </c>
      <c r="G5" s="41" t="s">
        <v>751</v>
      </c>
      <c r="H5" s="41" t="s">
        <v>752</v>
      </c>
      <c r="I5" s="41" t="s">
        <v>753</v>
      </c>
      <c r="J5" s="41" t="s">
        <v>754</v>
      </c>
      <c r="K5" s="41"/>
      <c r="L5" s="41"/>
      <c r="M5" s="41"/>
    </row>
    <row r="6" spans="1:13" ht="22.5" customHeight="1">
      <c r="A6" s="42">
        <v>45778.01071938657</v>
      </c>
      <c r="B6" s="41">
        <v>1</v>
      </c>
      <c r="C6" s="41" t="s">
        <v>755</v>
      </c>
      <c r="D6" s="41" t="s">
        <v>756</v>
      </c>
      <c r="E6" s="41" t="s">
        <v>757</v>
      </c>
      <c r="F6" s="41" t="s">
        <v>758</v>
      </c>
      <c r="G6" s="41" t="s">
        <v>759</v>
      </c>
      <c r="H6" s="41" t="s">
        <v>760</v>
      </c>
      <c r="I6" s="41" t="s">
        <v>761</v>
      </c>
      <c r="J6" s="41" t="s">
        <v>762</v>
      </c>
      <c r="K6" s="41"/>
      <c r="L6" s="41"/>
      <c r="M6" s="41"/>
    </row>
    <row r="7" spans="1:13" ht="22.5" customHeight="1">
      <c r="A7" s="42">
        <v>45778.011598541663</v>
      </c>
      <c r="B7" s="41">
        <v>1</v>
      </c>
      <c r="C7" s="41" t="s">
        <v>763</v>
      </c>
      <c r="D7" s="41" t="s">
        <v>764</v>
      </c>
      <c r="E7" s="41" t="s">
        <v>765</v>
      </c>
      <c r="F7" s="41" t="s">
        <v>766</v>
      </c>
      <c r="G7" s="41" t="s">
        <v>767</v>
      </c>
      <c r="H7" s="41" t="s">
        <v>768</v>
      </c>
      <c r="I7" s="41" t="s">
        <v>769</v>
      </c>
      <c r="J7" s="41" t="s">
        <v>249</v>
      </c>
      <c r="K7" s="41"/>
      <c r="L7" s="41"/>
      <c r="M7" s="41"/>
    </row>
    <row r="8" spans="1:13" ht="22.5" customHeight="1">
      <c r="A8" s="42">
        <v>45778.73237972222</v>
      </c>
      <c r="B8" s="41">
        <v>77</v>
      </c>
      <c r="C8" s="41" t="s">
        <v>770</v>
      </c>
      <c r="D8" s="41" t="s">
        <v>771</v>
      </c>
      <c r="E8" s="41" t="s">
        <v>772</v>
      </c>
      <c r="F8" s="41" t="s">
        <v>773</v>
      </c>
      <c r="G8" s="41" t="s">
        <v>774</v>
      </c>
      <c r="H8" s="41" t="s">
        <v>775</v>
      </c>
      <c r="I8" s="41" t="s">
        <v>776</v>
      </c>
      <c r="J8" s="41" t="s">
        <v>777</v>
      </c>
      <c r="K8" s="41"/>
      <c r="L8" s="41"/>
      <c r="M8" s="41"/>
    </row>
    <row r="9" spans="1:13" ht="22.5" customHeight="1">
      <c r="A9" s="42">
        <v>45778.759943263889</v>
      </c>
      <c r="B9" s="41">
        <v>12</v>
      </c>
      <c r="C9" s="41" t="s">
        <v>778</v>
      </c>
      <c r="D9" s="41" t="s">
        <v>779</v>
      </c>
      <c r="E9" s="41" t="s">
        <v>780</v>
      </c>
      <c r="F9" s="41" t="s">
        <v>781</v>
      </c>
      <c r="G9" s="41" t="s">
        <v>782</v>
      </c>
      <c r="H9" s="41" t="s">
        <v>783</v>
      </c>
      <c r="I9" s="41" t="s">
        <v>784</v>
      </c>
      <c r="J9" s="41" t="s">
        <v>785</v>
      </c>
      <c r="K9" s="41"/>
      <c r="L9" s="41"/>
      <c r="M9" s="41"/>
    </row>
    <row r="10" spans="1:13" ht="22.5" customHeight="1">
      <c r="A10" s="42">
        <v>45778.790500949079</v>
      </c>
      <c r="B10" s="41">
        <v>45</v>
      </c>
      <c r="C10" s="41" t="s">
        <v>786</v>
      </c>
      <c r="D10" s="41" t="s">
        <v>787</v>
      </c>
      <c r="E10" s="41" t="s">
        <v>788</v>
      </c>
      <c r="F10" s="41" t="s">
        <v>789</v>
      </c>
      <c r="H10" s="41" t="s">
        <v>790</v>
      </c>
      <c r="I10" s="41">
        <v>55</v>
      </c>
      <c r="J10" s="41" t="s">
        <v>485</v>
      </c>
      <c r="K10" s="41"/>
      <c r="L10" s="41"/>
      <c r="M10" s="41"/>
    </row>
    <row r="11" spans="1:13" ht="22.5" customHeight="1">
      <c r="A11" s="42">
        <v>45778.793819074075</v>
      </c>
      <c r="B11" s="41">
        <v>12</v>
      </c>
      <c r="C11" s="41" t="s">
        <v>791</v>
      </c>
      <c r="D11" s="41" t="s">
        <v>189</v>
      </c>
      <c r="E11" s="41" t="s">
        <v>792</v>
      </c>
      <c r="F11" s="41" t="s">
        <v>793</v>
      </c>
      <c r="G11" s="41" t="s">
        <v>794</v>
      </c>
      <c r="H11" s="41" t="s">
        <v>795</v>
      </c>
      <c r="I11" s="41" t="s">
        <v>796</v>
      </c>
      <c r="J11" s="41" t="s">
        <v>797</v>
      </c>
      <c r="K11" s="41"/>
      <c r="L11" s="41"/>
      <c r="M11" s="41"/>
    </row>
    <row r="12" spans="1:13" ht="22.5" customHeight="1">
      <c r="A12" s="42">
        <v>45778.804792071758</v>
      </c>
      <c r="B12" s="41">
        <v>215</v>
      </c>
      <c r="C12" s="41" t="s">
        <v>798</v>
      </c>
      <c r="D12" s="41" t="s">
        <v>219</v>
      </c>
      <c r="E12" s="41" t="s">
        <v>194</v>
      </c>
      <c r="F12" s="41" t="s">
        <v>194</v>
      </c>
      <c r="G12" s="41" t="s">
        <v>194</v>
      </c>
      <c r="H12" s="41" t="s">
        <v>194</v>
      </c>
      <c r="I12" s="41" t="s">
        <v>203</v>
      </c>
      <c r="J12" s="41" t="s">
        <v>194</v>
      </c>
      <c r="K12" s="41"/>
      <c r="L12" s="41"/>
      <c r="M12" s="41"/>
    </row>
    <row r="13" spans="1:13" ht="22.5" customHeight="1">
      <c r="A13" s="42">
        <v>45778.807424398146</v>
      </c>
      <c r="B13" s="41">
        <v>421</v>
      </c>
      <c r="C13" s="41" t="s">
        <v>799</v>
      </c>
      <c r="D13" s="41" t="s">
        <v>800</v>
      </c>
      <c r="E13" s="41" t="s">
        <v>801</v>
      </c>
      <c r="F13" s="41" t="s">
        <v>802</v>
      </c>
      <c r="G13" s="41" t="s">
        <v>803</v>
      </c>
      <c r="H13" s="41" t="s">
        <v>804</v>
      </c>
      <c r="I13" s="41" t="s">
        <v>805</v>
      </c>
      <c r="J13" s="41" t="s">
        <v>806</v>
      </c>
      <c r="K13" s="41"/>
      <c r="L13" s="41"/>
      <c r="M13" s="41"/>
    </row>
    <row r="14" spans="1:13" ht="22.5" customHeight="1">
      <c r="A14" s="42">
        <v>45778.811994687501</v>
      </c>
      <c r="B14" s="41" t="s">
        <v>215</v>
      </c>
    </row>
    <row r="15" spans="1:13" ht="22.5" customHeight="1">
      <c r="A15" s="42">
        <v>45778.812604791667</v>
      </c>
      <c r="B15" s="41" t="s">
        <v>218</v>
      </c>
      <c r="J15" s="41" t="s">
        <v>807</v>
      </c>
      <c r="K15" s="41"/>
      <c r="L15" s="41"/>
      <c r="M15" s="41"/>
    </row>
    <row r="16" spans="1:13" ht="22.5" customHeight="1">
      <c r="A16" s="42">
        <v>45778.875393136579</v>
      </c>
      <c r="B16" s="41">
        <v>343</v>
      </c>
      <c r="C16" s="41" t="s">
        <v>808</v>
      </c>
      <c r="D16" s="41" t="s">
        <v>809</v>
      </c>
      <c r="E16" s="41" t="s">
        <v>810</v>
      </c>
      <c r="F16" s="41" t="s">
        <v>811</v>
      </c>
      <c r="G16" s="41" t="s">
        <v>812</v>
      </c>
      <c r="H16" s="41" t="s">
        <v>813</v>
      </c>
      <c r="I16" s="41" t="s">
        <v>814</v>
      </c>
      <c r="J16" s="41" t="s">
        <v>815</v>
      </c>
      <c r="K16" s="41" t="s">
        <v>816</v>
      </c>
      <c r="L16" s="41" t="s">
        <v>817</v>
      </c>
      <c r="M16" s="41"/>
    </row>
    <row r="17" spans="1:13" ht="22.5" customHeight="1">
      <c r="A17" s="42">
        <v>45778.876326817131</v>
      </c>
      <c r="B17" s="41">
        <v>4355</v>
      </c>
      <c r="C17" s="41" t="s">
        <v>818</v>
      </c>
      <c r="D17" s="41" t="s">
        <v>819</v>
      </c>
      <c r="E17" s="41" t="s">
        <v>820</v>
      </c>
      <c r="F17" s="41" t="s">
        <v>821</v>
      </c>
      <c r="G17" s="41" t="s">
        <v>822</v>
      </c>
      <c r="H17" s="41" t="s">
        <v>402</v>
      </c>
      <c r="I17" s="41" t="s">
        <v>823</v>
      </c>
      <c r="J17" s="41" t="s">
        <v>824</v>
      </c>
      <c r="K17" s="41" t="s">
        <v>825</v>
      </c>
      <c r="L17" s="41" t="s">
        <v>826</v>
      </c>
      <c r="M17" s="41"/>
    </row>
    <row r="18" spans="1:13" ht="22.5" customHeight="1">
      <c r="A18" s="42">
        <v>45778.876836875002</v>
      </c>
      <c r="B18" s="41">
        <v>3234</v>
      </c>
      <c r="C18" s="41" t="s">
        <v>480</v>
      </c>
      <c r="D18" s="41" t="s">
        <v>827</v>
      </c>
      <c r="E18" s="41" t="s">
        <v>821</v>
      </c>
      <c r="F18" s="41" t="s">
        <v>828</v>
      </c>
      <c r="G18" s="41" t="s">
        <v>829</v>
      </c>
      <c r="H18" s="41" t="s">
        <v>647</v>
      </c>
      <c r="I18" s="41" t="s">
        <v>830</v>
      </c>
      <c r="J18" s="41" t="s">
        <v>831</v>
      </c>
      <c r="K18" s="41" t="s">
        <v>832</v>
      </c>
      <c r="L18" s="41" t="s">
        <v>833</v>
      </c>
      <c r="M18" s="41"/>
    </row>
    <row r="19" spans="1:13" ht="22.5" customHeight="1">
      <c r="A19" s="42">
        <v>45778.896286701391</v>
      </c>
      <c r="B19" s="41">
        <v>35423</v>
      </c>
      <c r="C19" s="41" t="s">
        <v>238</v>
      </c>
      <c r="D19" s="41" t="s">
        <v>834</v>
      </c>
      <c r="E19" s="41" t="s">
        <v>290</v>
      </c>
      <c r="F19" s="41" t="s">
        <v>290</v>
      </c>
      <c r="G19" s="41" t="s">
        <v>290</v>
      </c>
      <c r="H19" s="41" t="s">
        <v>290</v>
      </c>
      <c r="I19" s="41" t="s">
        <v>290</v>
      </c>
      <c r="J19" s="41" t="s">
        <v>290</v>
      </c>
      <c r="K19" s="41" t="s">
        <v>154</v>
      </c>
      <c r="L19" s="41" t="s">
        <v>290</v>
      </c>
      <c r="M19" s="41"/>
    </row>
    <row r="20" spans="1:13" ht="22.5" customHeight="1">
      <c r="A20" s="42">
        <v>45778.902139733793</v>
      </c>
      <c r="B20" s="41" t="s">
        <v>266</v>
      </c>
      <c r="C20" s="41" t="s">
        <v>835</v>
      </c>
      <c r="D20" s="41" t="s">
        <v>836</v>
      </c>
      <c r="E20" s="41" t="s">
        <v>837</v>
      </c>
      <c r="F20" s="41" t="s">
        <v>838</v>
      </c>
      <c r="G20" s="41" t="s">
        <v>729</v>
      </c>
      <c r="H20" s="41" t="s">
        <v>839</v>
      </c>
      <c r="I20" s="41" t="s">
        <v>840</v>
      </c>
      <c r="J20" s="41" t="s">
        <v>841</v>
      </c>
      <c r="K20" s="41" t="s">
        <v>842</v>
      </c>
      <c r="L20" s="41">
        <v>20</v>
      </c>
      <c r="M20" s="41"/>
    </row>
    <row r="21" spans="1:13" ht="22.5" customHeight="1">
      <c r="A21" s="42">
        <v>45778.903909918983</v>
      </c>
      <c r="B21" s="41">
        <v>2</v>
      </c>
      <c r="L21" s="41">
        <v>5</v>
      </c>
      <c r="M21" s="41"/>
    </row>
    <row r="22" spans="1:13" ht="22.5" customHeight="1">
      <c r="A22" s="42">
        <v>45778.921908032411</v>
      </c>
      <c r="B22" s="41" t="s">
        <v>843</v>
      </c>
    </row>
    <row r="23" spans="1:13" ht="22.5" customHeight="1">
      <c r="A23" s="42">
        <v>45778.922727210651</v>
      </c>
      <c r="B23" s="41" t="s">
        <v>844</v>
      </c>
      <c r="G23" s="41" t="s">
        <v>845</v>
      </c>
      <c r="L23" s="41">
        <v>32</v>
      </c>
      <c r="M23" s="41"/>
    </row>
    <row r="24" spans="1:13" ht="22.5" customHeight="1">
      <c r="A24" s="42">
        <v>45778.92361125</v>
      </c>
      <c r="B24" s="41" t="s">
        <v>86</v>
      </c>
    </row>
    <row r="25" spans="1:13" ht="22.5" customHeight="1">
      <c r="A25" s="42">
        <v>45778.924271053242</v>
      </c>
      <c r="B25" s="41" t="s">
        <v>846</v>
      </c>
      <c r="C25" s="41">
        <v>34352</v>
      </c>
      <c r="D25" s="41" t="s">
        <v>847</v>
      </c>
      <c r="E25" s="41" t="s">
        <v>848</v>
      </c>
      <c r="F25" s="41" t="s">
        <v>838</v>
      </c>
      <c r="G25" s="41" t="s">
        <v>849</v>
      </c>
      <c r="H25" s="41" t="s">
        <v>850</v>
      </c>
      <c r="I25" s="41" t="s">
        <v>851</v>
      </c>
      <c r="J25" s="41" t="s">
        <v>852</v>
      </c>
      <c r="K25" s="41" t="s">
        <v>853</v>
      </c>
      <c r="L25" s="41" t="s">
        <v>854</v>
      </c>
      <c r="M25" s="41"/>
    </row>
    <row r="26" spans="1:13" ht="22.5" customHeight="1">
      <c r="A26" s="42">
        <v>45778.924769780089</v>
      </c>
      <c r="B26" s="41" t="s">
        <v>288</v>
      </c>
      <c r="C26" s="41" t="s">
        <v>855</v>
      </c>
      <c r="D26" s="41" t="s">
        <v>856</v>
      </c>
      <c r="E26" s="41" t="s">
        <v>857</v>
      </c>
      <c r="F26" s="41" t="s">
        <v>858</v>
      </c>
      <c r="G26" s="41" t="s">
        <v>859</v>
      </c>
      <c r="H26" s="41" t="s">
        <v>860</v>
      </c>
      <c r="I26" s="41" t="s">
        <v>861</v>
      </c>
      <c r="J26" s="41" t="s">
        <v>862</v>
      </c>
      <c r="K26" s="41" t="s">
        <v>863</v>
      </c>
      <c r="L26" s="41">
        <v>12</v>
      </c>
      <c r="M26" s="41"/>
    </row>
    <row r="27" spans="1:13" ht="22.5" customHeight="1">
      <c r="A27" s="42">
        <v>45778.927719953703</v>
      </c>
      <c r="B27" s="41" t="s">
        <v>300</v>
      </c>
      <c r="C27" s="41" t="s">
        <v>314</v>
      </c>
      <c r="D27" s="41" t="s">
        <v>864</v>
      </c>
      <c r="E27" s="41" t="s">
        <v>865</v>
      </c>
      <c r="F27" s="41" t="s">
        <v>866</v>
      </c>
      <c r="G27" s="41" t="s">
        <v>867</v>
      </c>
      <c r="H27" s="41" t="s">
        <v>868</v>
      </c>
      <c r="I27" s="41" t="s">
        <v>869</v>
      </c>
      <c r="J27" s="41" t="s">
        <v>870</v>
      </c>
      <c r="K27" s="41" t="s">
        <v>871</v>
      </c>
      <c r="L27" s="41">
        <v>15</v>
      </c>
      <c r="M27" s="41"/>
    </row>
    <row r="28" spans="1:13" ht="22.5" customHeight="1">
      <c r="A28" s="42">
        <v>45778.934931111115</v>
      </c>
      <c r="B28" s="41" t="s">
        <v>307</v>
      </c>
      <c r="C28" s="41" t="s">
        <v>872</v>
      </c>
      <c r="D28" s="41">
        <v>3434</v>
      </c>
      <c r="E28" s="41">
        <v>4345344</v>
      </c>
      <c r="F28" s="41" t="s">
        <v>873</v>
      </c>
      <c r="G28" s="41" t="s">
        <v>874</v>
      </c>
      <c r="H28" s="41" t="s">
        <v>875</v>
      </c>
      <c r="I28" s="41" t="s">
        <v>876</v>
      </c>
      <c r="J28" s="41" t="s">
        <v>877</v>
      </c>
      <c r="K28" s="41" t="s">
        <v>878</v>
      </c>
      <c r="L28" s="41">
        <v>17</v>
      </c>
      <c r="M28" s="41"/>
    </row>
    <row r="29" spans="1:13" ht="22.5" customHeight="1">
      <c r="A29" s="42">
        <v>45779.329276296296</v>
      </c>
      <c r="B29" s="41" t="s">
        <v>327</v>
      </c>
      <c r="K29" s="41" t="s">
        <v>879</v>
      </c>
      <c r="L29" s="41">
        <v>12</v>
      </c>
      <c r="M29" s="41"/>
    </row>
    <row r="30" spans="1:13" ht="22.5" customHeight="1">
      <c r="A30" s="42">
        <v>45779.330870081016</v>
      </c>
      <c r="B30" s="41" t="s">
        <v>328</v>
      </c>
      <c r="K30" s="41" t="s">
        <v>880</v>
      </c>
      <c r="L30" s="41">
        <v>32</v>
      </c>
      <c r="M30" s="41"/>
    </row>
    <row r="31" spans="1:13" ht="22.5" customHeight="1">
      <c r="A31" s="42">
        <v>45779.333054398143</v>
      </c>
      <c r="B31" s="41" t="s">
        <v>328</v>
      </c>
    </row>
    <row r="32" spans="1:13" ht="22.5" customHeight="1">
      <c r="A32" s="42">
        <v>45779.612150706016</v>
      </c>
      <c r="B32" s="41" t="s">
        <v>333</v>
      </c>
      <c r="C32" s="41" t="s">
        <v>881</v>
      </c>
      <c r="D32" s="41" t="s">
        <v>882</v>
      </c>
      <c r="E32" s="41" t="s">
        <v>883</v>
      </c>
      <c r="F32" s="41" t="s">
        <v>884</v>
      </c>
      <c r="G32" s="41" t="s">
        <v>885</v>
      </c>
      <c r="H32" s="41" t="s">
        <v>886</v>
      </c>
      <c r="I32" s="41" t="s">
        <v>887</v>
      </c>
      <c r="J32" s="41" t="s">
        <v>888</v>
      </c>
      <c r="K32" s="41" t="s">
        <v>889</v>
      </c>
      <c r="L32" s="41">
        <v>12</v>
      </c>
      <c r="M32" s="41"/>
    </row>
    <row r="33" spans="1:13" ht="22.5" customHeight="1">
      <c r="A33" s="42">
        <v>45779.613249525464</v>
      </c>
      <c r="B33" s="41" t="s">
        <v>333</v>
      </c>
      <c r="C33" s="41" t="s">
        <v>890</v>
      </c>
      <c r="D33" s="41" t="s">
        <v>891</v>
      </c>
      <c r="E33" s="41" t="s">
        <v>892</v>
      </c>
      <c r="F33" s="41" t="s">
        <v>893</v>
      </c>
      <c r="G33" s="41" t="s">
        <v>894</v>
      </c>
      <c r="H33" s="41" t="s">
        <v>895</v>
      </c>
      <c r="I33" s="41" t="s">
        <v>896</v>
      </c>
      <c r="J33" s="41" t="s">
        <v>897</v>
      </c>
      <c r="K33" s="41" t="s">
        <v>898</v>
      </c>
      <c r="L33" s="41">
        <v>12</v>
      </c>
      <c r="M33" s="41"/>
    </row>
    <row r="34" spans="1:13" ht="22.5" customHeight="1">
      <c r="A34" s="42">
        <v>45779.635747291672</v>
      </c>
      <c r="B34" s="41" t="s">
        <v>899</v>
      </c>
      <c r="C34" s="41" t="s">
        <v>900</v>
      </c>
      <c r="D34" s="41" t="s">
        <v>901</v>
      </c>
      <c r="E34" s="41">
        <v>4343</v>
      </c>
      <c r="F34" s="41" t="s">
        <v>902</v>
      </c>
      <c r="G34" s="41" t="s">
        <v>903</v>
      </c>
      <c r="H34" s="41" t="s">
        <v>904</v>
      </c>
      <c r="I34" s="41" t="s">
        <v>905</v>
      </c>
      <c r="J34" s="41" t="s">
        <v>906</v>
      </c>
      <c r="K34" s="41" t="s">
        <v>907</v>
      </c>
      <c r="L34" s="41">
        <v>12</v>
      </c>
      <c r="M34" s="41"/>
    </row>
    <row r="35" spans="1:13" ht="22.5" customHeight="1">
      <c r="A35" s="42">
        <v>45779.638606168985</v>
      </c>
      <c r="B35" s="41" t="s">
        <v>908</v>
      </c>
      <c r="C35" s="41" t="s">
        <v>909</v>
      </c>
      <c r="D35" s="41" t="s">
        <v>910</v>
      </c>
      <c r="E35" s="41" t="s">
        <v>286</v>
      </c>
      <c r="F35" s="41" t="s">
        <v>911</v>
      </c>
      <c r="G35" s="41" t="s">
        <v>285</v>
      </c>
      <c r="H35" s="41" t="s">
        <v>912</v>
      </c>
      <c r="I35" s="41" t="s">
        <v>913</v>
      </c>
      <c r="K35" s="41" t="s">
        <v>914</v>
      </c>
      <c r="L35" s="41">
        <v>12</v>
      </c>
      <c r="M35" s="41"/>
    </row>
    <row r="36" spans="1:13" ht="22.5" customHeight="1">
      <c r="A36" s="42">
        <v>45779.6475125</v>
      </c>
      <c r="B36" s="41" t="s">
        <v>339</v>
      </c>
      <c r="C36" s="41" t="s">
        <v>915</v>
      </c>
      <c r="D36" s="41" t="s">
        <v>355</v>
      </c>
      <c r="E36" s="41" t="s">
        <v>916</v>
      </c>
      <c r="F36" s="41" t="s">
        <v>917</v>
      </c>
      <c r="G36" s="41" t="s">
        <v>374</v>
      </c>
      <c r="H36" s="41" t="s">
        <v>918</v>
      </c>
      <c r="I36" s="41" t="s">
        <v>919</v>
      </c>
      <c r="J36" s="41" t="s">
        <v>396</v>
      </c>
      <c r="K36" s="41" t="s">
        <v>920</v>
      </c>
      <c r="L36" s="41">
        <v>12</v>
      </c>
      <c r="M36" s="41"/>
    </row>
    <row r="37" spans="1:13" ht="22.5" customHeight="1">
      <c r="A37" s="42">
        <v>45779.676464999997</v>
      </c>
      <c r="B37" s="41" t="s">
        <v>345</v>
      </c>
      <c r="K37" s="41" t="s">
        <v>921</v>
      </c>
      <c r="L37" s="41">
        <v>11</v>
      </c>
      <c r="M37" s="41"/>
    </row>
    <row r="38" spans="1:13" ht="22.5" customHeight="1">
      <c r="A38" s="42">
        <v>45779.687103958335</v>
      </c>
      <c r="B38" s="41" t="s">
        <v>350</v>
      </c>
      <c r="K38" s="41" t="s">
        <v>922</v>
      </c>
      <c r="L38" s="41">
        <v>4</v>
      </c>
      <c r="M38" s="41"/>
    </row>
    <row r="39" spans="1:13" ht="22.5" customHeight="1">
      <c r="A39" s="42">
        <v>45779.703193900466</v>
      </c>
      <c r="B39" s="41" t="s">
        <v>357</v>
      </c>
      <c r="K39" s="41" t="s">
        <v>923</v>
      </c>
      <c r="L39" s="41">
        <v>3</v>
      </c>
      <c r="M39" s="41"/>
    </row>
    <row r="40" spans="1:13" ht="22.5" customHeight="1">
      <c r="A40" s="42">
        <v>45779.889435925928</v>
      </c>
      <c r="B40" s="41" t="s">
        <v>373</v>
      </c>
      <c r="K40" s="41" t="s">
        <v>924</v>
      </c>
      <c r="L40" s="41">
        <v>11</v>
      </c>
      <c r="M40" s="41"/>
    </row>
    <row r="41" spans="1:13" ht="22.5" customHeight="1">
      <c r="A41" s="42">
        <v>45779.893034722219</v>
      </c>
      <c r="B41" s="41" t="s">
        <v>925</v>
      </c>
      <c r="K41" s="41" t="s">
        <v>926</v>
      </c>
      <c r="L41" s="41">
        <v>21</v>
      </c>
      <c r="M41" s="41"/>
    </row>
    <row r="42" spans="1:13" ht="22.5" customHeight="1">
      <c r="A42" s="42">
        <v>45779.894990717592</v>
      </c>
      <c r="B42" s="41" t="s">
        <v>382</v>
      </c>
      <c r="K42" s="41" t="s">
        <v>927</v>
      </c>
      <c r="L42" s="41">
        <v>32</v>
      </c>
      <c r="M42" s="41"/>
    </row>
    <row r="43" spans="1:13" ht="22.5" customHeight="1">
      <c r="A43" s="42">
        <v>45779.896484548612</v>
      </c>
      <c r="B43" s="41" t="s">
        <v>928</v>
      </c>
      <c r="K43" s="41" t="s">
        <v>929</v>
      </c>
      <c r="L43" s="41">
        <v>21</v>
      </c>
      <c r="M43" s="41"/>
    </row>
    <row r="44" spans="1:13" ht="22.5" customHeight="1">
      <c r="A44" s="42">
        <v>45779.899304259263</v>
      </c>
      <c r="B44" s="41" t="s">
        <v>389</v>
      </c>
      <c r="K44" s="41" t="s">
        <v>930</v>
      </c>
      <c r="L44" s="41">
        <v>12</v>
      </c>
      <c r="M44" s="41"/>
    </row>
    <row r="45" spans="1:13" ht="22.5" customHeight="1">
      <c r="A45" s="42">
        <v>45779.901638634256</v>
      </c>
      <c r="B45" s="41" t="s">
        <v>394</v>
      </c>
      <c r="K45" s="41" t="s">
        <v>931</v>
      </c>
      <c r="L45" s="41">
        <v>21</v>
      </c>
      <c r="M45" s="41"/>
    </row>
    <row r="46" spans="1:13" ht="22.5" customHeight="1">
      <c r="A46" s="42">
        <v>45779.903445208329</v>
      </c>
      <c r="B46" s="41" t="s">
        <v>401</v>
      </c>
      <c r="K46" s="41" t="s">
        <v>932</v>
      </c>
      <c r="L46" s="41">
        <v>32</v>
      </c>
      <c r="M46" s="41"/>
    </row>
    <row r="47" spans="1:13" ht="22.5" customHeight="1">
      <c r="A47" s="42">
        <v>45779.908979375003</v>
      </c>
      <c r="B47" s="41" t="s">
        <v>406</v>
      </c>
      <c r="K47" s="41" t="s">
        <v>933</v>
      </c>
      <c r="L47" s="41">
        <v>21</v>
      </c>
      <c r="M47" s="41"/>
    </row>
    <row r="48" spans="1:13" ht="22.5" customHeight="1">
      <c r="A48" s="42">
        <v>45779.912824444444</v>
      </c>
      <c r="B48" s="41" t="s">
        <v>412</v>
      </c>
      <c r="K48" s="41" t="s">
        <v>934</v>
      </c>
      <c r="L48" s="41">
        <v>21</v>
      </c>
      <c r="M48" s="41"/>
    </row>
    <row r="49" spans="1:13" ht="22.5" customHeight="1">
      <c r="A49" s="42">
        <v>45779.929798888887</v>
      </c>
      <c r="B49" s="41" t="s">
        <v>421</v>
      </c>
    </row>
    <row r="50" spans="1:13" ht="22.5" customHeight="1">
      <c r="A50" s="42">
        <v>45779.93862966435</v>
      </c>
      <c r="B50" s="41" t="s">
        <v>422</v>
      </c>
      <c r="C50" s="41">
        <v>6354</v>
      </c>
      <c r="D50" s="41" t="s">
        <v>935</v>
      </c>
      <c r="E50" s="41">
        <v>3214</v>
      </c>
      <c r="F50" s="41" t="s">
        <v>936</v>
      </c>
      <c r="G50" s="41" t="s">
        <v>327</v>
      </c>
      <c r="H50" s="41" t="s">
        <v>937</v>
      </c>
      <c r="I50" s="41" t="s">
        <v>839</v>
      </c>
      <c r="J50" s="41" t="s">
        <v>938</v>
      </c>
      <c r="K50" s="41" t="s">
        <v>939</v>
      </c>
      <c r="L50" s="41">
        <v>21</v>
      </c>
      <c r="M50" s="41"/>
    </row>
    <row r="51" spans="1:13" ht="22.5" customHeight="1">
      <c r="A51" s="42">
        <v>45779.94272762732</v>
      </c>
      <c r="B51" s="41" t="s">
        <v>441</v>
      </c>
      <c r="C51" s="41" t="s">
        <v>940</v>
      </c>
      <c r="D51" s="41" t="s">
        <v>941</v>
      </c>
      <c r="E51" s="41" t="s">
        <v>942</v>
      </c>
      <c r="F51" s="41" t="s">
        <v>943</v>
      </c>
      <c r="G51" s="41" t="s">
        <v>944</v>
      </c>
      <c r="H51" s="41" t="s">
        <v>945</v>
      </c>
      <c r="I51" s="41" t="s">
        <v>444</v>
      </c>
      <c r="J51" s="41" t="s">
        <v>946</v>
      </c>
      <c r="K51" s="41" t="s">
        <v>947</v>
      </c>
      <c r="L51" s="41">
        <v>12</v>
      </c>
      <c r="M51" s="41"/>
    </row>
    <row r="52" spans="1:13" ht="22.5" customHeight="1">
      <c r="A52" s="42">
        <v>45779.944621087961</v>
      </c>
      <c r="B52" s="41" t="s">
        <v>449</v>
      </c>
      <c r="C52" s="41" t="s">
        <v>222</v>
      </c>
      <c r="D52" s="41" t="s">
        <v>948</v>
      </c>
      <c r="E52" s="41" t="s">
        <v>222</v>
      </c>
      <c r="F52" s="41" t="s">
        <v>795</v>
      </c>
      <c r="G52" s="41" t="s">
        <v>949</v>
      </c>
      <c r="H52" s="41" t="s">
        <v>950</v>
      </c>
      <c r="I52" s="41" t="s">
        <v>950</v>
      </c>
      <c r="J52" s="41" t="s">
        <v>951</v>
      </c>
      <c r="K52" s="41" t="s">
        <v>952</v>
      </c>
      <c r="L52" s="41">
        <v>32</v>
      </c>
      <c r="M52" s="41"/>
    </row>
    <row r="53" spans="1:13" ht="22.5" customHeight="1">
      <c r="A53" s="42">
        <v>45779.94929074074</v>
      </c>
      <c r="B53" s="41" t="s">
        <v>458</v>
      </c>
      <c r="L53" s="41">
        <v>3</v>
      </c>
      <c r="M53" s="41"/>
    </row>
    <row r="54" spans="1:13" ht="22.5" customHeight="1">
      <c r="A54" s="42">
        <v>45779.965410300923</v>
      </c>
      <c r="B54" s="41">
        <v>777</v>
      </c>
      <c r="C54" s="41">
        <v>6543456</v>
      </c>
      <c r="D54" s="41" t="s">
        <v>953</v>
      </c>
      <c r="E54" s="41">
        <v>5434</v>
      </c>
      <c r="F54" s="41" t="s">
        <v>936</v>
      </c>
      <c r="G54" s="41" t="s">
        <v>954</v>
      </c>
      <c r="H54" s="41" t="s">
        <v>955</v>
      </c>
      <c r="I54" s="41" t="s">
        <v>956</v>
      </c>
      <c r="J54" s="41" t="s">
        <v>956</v>
      </c>
      <c r="K54" s="41" t="s">
        <v>957</v>
      </c>
      <c r="L54" s="41">
        <v>10</v>
      </c>
      <c r="M54" s="41"/>
    </row>
    <row r="55" spans="1:13" ht="22.5" customHeight="1">
      <c r="A55" s="42">
        <v>45779.969602500001</v>
      </c>
      <c r="B55" s="41" t="s">
        <v>471</v>
      </c>
      <c r="C55" s="41" t="s">
        <v>958</v>
      </c>
      <c r="D55" s="41" t="s">
        <v>959</v>
      </c>
      <c r="E55" s="41" t="s">
        <v>959</v>
      </c>
      <c r="F55" s="41" t="s">
        <v>960</v>
      </c>
      <c r="G55" s="41" t="s">
        <v>959</v>
      </c>
      <c r="H55" s="41" t="s">
        <v>958</v>
      </c>
      <c r="I55" s="41" t="s">
        <v>958</v>
      </c>
      <c r="J55" s="41" t="s">
        <v>959</v>
      </c>
      <c r="K55" s="41" t="s">
        <v>958</v>
      </c>
      <c r="L55" s="41">
        <v>10</v>
      </c>
      <c r="M55" s="41"/>
    </row>
    <row r="56" spans="1:13" ht="22.5" customHeight="1">
      <c r="A56" s="42">
        <v>45779.970977835648</v>
      </c>
      <c r="B56" s="41">
        <v>465</v>
      </c>
      <c r="L56" s="41">
        <v>20</v>
      </c>
      <c r="M56" s="41"/>
    </row>
    <row r="57" spans="1:13" ht="22.5" customHeight="1">
      <c r="A57" s="42">
        <v>45779.978979918982</v>
      </c>
      <c r="B57" s="41" t="s">
        <v>474</v>
      </c>
      <c r="L57" s="41">
        <v>10</v>
      </c>
      <c r="M57" s="41"/>
    </row>
    <row r="58" spans="1:13" ht="22.5" customHeight="1">
      <c r="A58" s="42">
        <v>45779.980989212963</v>
      </c>
      <c r="B58" s="41" t="s">
        <v>475</v>
      </c>
      <c r="L58" s="41">
        <v>21</v>
      </c>
      <c r="M58" s="41"/>
    </row>
    <row r="59" spans="1:13" ht="22.5" customHeight="1">
      <c r="A59" s="42">
        <v>45779.982270138891</v>
      </c>
      <c r="B59" s="41" t="s">
        <v>220</v>
      </c>
      <c r="L59" s="41">
        <v>31</v>
      </c>
      <c r="M59" s="41"/>
    </row>
    <row r="60" spans="1:13" ht="22.5" customHeight="1">
      <c r="A60" s="42">
        <v>45779.987781770833</v>
      </c>
      <c r="B60" s="41">
        <v>403377</v>
      </c>
      <c r="C60" s="41" t="s">
        <v>961</v>
      </c>
      <c r="D60" s="41" t="s">
        <v>962</v>
      </c>
      <c r="E60" s="41" t="s">
        <v>963</v>
      </c>
      <c r="F60" s="41" t="s">
        <v>964</v>
      </c>
      <c r="G60" s="41" t="s">
        <v>965</v>
      </c>
      <c r="H60" s="41" t="s">
        <v>966</v>
      </c>
      <c r="I60" s="41" t="s">
        <v>967</v>
      </c>
      <c r="J60" s="41" t="s">
        <v>659</v>
      </c>
      <c r="K60" s="41" t="s">
        <v>967</v>
      </c>
      <c r="L60" s="41">
        <v>10</v>
      </c>
      <c r="M60" s="41"/>
    </row>
    <row r="61" spans="1:13" ht="22.5" customHeight="1">
      <c r="A61" s="42">
        <v>45780.005108356483</v>
      </c>
      <c r="B61" s="41" t="s">
        <v>498</v>
      </c>
      <c r="C61" s="41" t="s">
        <v>489</v>
      </c>
      <c r="D61" s="41" t="s">
        <v>968</v>
      </c>
      <c r="E61" s="41" t="s">
        <v>491</v>
      </c>
      <c r="F61" s="41" t="s">
        <v>969</v>
      </c>
      <c r="G61" s="41" t="s">
        <v>969</v>
      </c>
      <c r="H61" s="41" t="s">
        <v>482</v>
      </c>
      <c r="I61" s="41" t="s">
        <v>970</v>
      </c>
      <c r="J61" s="41" t="s">
        <v>487</v>
      </c>
      <c r="K61" s="41" t="s">
        <v>491</v>
      </c>
      <c r="L61" s="41">
        <v>10</v>
      </c>
      <c r="M61" s="41"/>
    </row>
    <row r="62" spans="1:13" ht="22.5" customHeight="1">
      <c r="A62" s="42">
        <v>45780.512774432871</v>
      </c>
      <c r="B62" s="41" t="s">
        <v>503</v>
      </c>
      <c r="C62" s="41">
        <v>54321</v>
      </c>
      <c r="D62" s="41" t="s">
        <v>971</v>
      </c>
      <c r="E62" s="41">
        <v>53342</v>
      </c>
      <c r="F62" s="41" t="s">
        <v>936</v>
      </c>
      <c r="G62" s="41" t="s">
        <v>972</v>
      </c>
      <c r="H62" s="41" t="s">
        <v>423</v>
      </c>
      <c r="I62" s="41" t="s">
        <v>973</v>
      </c>
      <c r="J62" s="41" t="s">
        <v>974</v>
      </c>
      <c r="K62" s="41" t="s">
        <v>975</v>
      </c>
      <c r="L62" s="41">
        <v>10</v>
      </c>
      <c r="M62" s="41"/>
    </row>
    <row r="63" spans="1:13" ht="22.5" customHeight="1">
      <c r="A63" s="42">
        <v>45780.529651921301</v>
      </c>
      <c r="B63" s="41" t="s">
        <v>517</v>
      </c>
      <c r="C63" s="41" t="s">
        <v>976</v>
      </c>
      <c r="D63" s="41" t="s">
        <v>977</v>
      </c>
      <c r="E63" s="41" t="s">
        <v>514</v>
      </c>
      <c r="F63" s="41" t="s">
        <v>978</v>
      </c>
      <c r="G63" s="41" t="s">
        <v>979</v>
      </c>
      <c r="H63" s="41" t="s">
        <v>538</v>
      </c>
      <c r="I63" s="41" t="s">
        <v>980</v>
      </c>
      <c r="J63" s="41" t="s">
        <v>981</v>
      </c>
      <c r="K63" s="41" t="s">
        <v>982</v>
      </c>
      <c r="L63" s="41">
        <v>10</v>
      </c>
      <c r="M63" s="41"/>
    </row>
    <row r="64" spans="1:13" ht="22.5" customHeight="1">
      <c r="A64" s="42">
        <v>45780.531803761573</v>
      </c>
      <c r="B64" s="41" t="s">
        <v>525</v>
      </c>
      <c r="C64" s="41" t="s">
        <v>983</v>
      </c>
      <c r="D64" s="41" t="s">
        <v>984</v>
      </c>
      <c r="E64" s="41" t="s">
        <v>984</v>
      </c>
      <c r="F64" s="41" t="s">
        <v>367</v>
      </c>
      <c r="G64" s="41" t="s">
        <v>985</v>
      </c>
      <c r="H64" s="41" t="s">
        <v>986</v>
      </c>
      <c r="I64" s="41" t="s">
        <v>980</v>
      </c>
      <c r="J64" s="41" t="s">
        <v>987</v>
      </c>
      <c r="K64" s="41" t="s">
        <v>988</v>
      </c>
      <c r="L64" s="41">
        <v>10</v>
      </c>
      <c r="M64" s="41"/>
    </row>
    <row r="65" spans="1:13" ht="22.5" customHeight="1">
      <c r="A65" s="42">
        <v>45780.537344745375</v>
      </c>
      <c r="B65" s="41" t="s">
        <v>539</v>
      </c>
      <c r="C65" s="41" t="s">
        <v>638</v>
      </c>
      <c r="D65" s="41" t="s">
        <v>574</v>
      </c>
      <c r="E65" s="41" t="s">
        <v>549</v>
      </c>
      <c r="F65" s="41" t="s">
        <v>501</v>
      </c>
      <c r="G65" s="41" t="s">
        <v>549</v>
      </c>
      <c r="H65" s="41" t="s">
        <v>549</v>
      </c>
      <c r="I65" s="41" t="s">
        <v>549</v>
      </c>
      <c r="J65" s="41" t="s">
        <v>549</v>
      </c>
      <c r="K65" s="41" t="s">
        <v>549</v>
      </c>
      <c r="L65" s="41">
        <v>10</v>
      </c>
      <c r="M65" s="41"/>
    </row>
    <row r="66" spans="1:13" ht="22.5" customHeight="1">
      <c r="A66" s="42">
        <v>45780.543090034727</v>
      </c>
      <c r="B66" s="41" t="s">
        <v>548</v>
      </c>
      <c r="C66" s="41" t="s">
        <v>612</v>
      </c>
      <c r="D66" s="41" t="s">
        <v>612</v>
      </c>
      <c r="E66" s="41" t="s">
        <v>612</v>
      </c>
      <c r="F66" s="41" t="s">
        <v>612</v>
      </c>
      <c r="G66" s="41" t="s">
        <v>636</v>
      </c>
      <c r="H66" s="41" t="s">
        <v>612</v>
      </c>
      <c r="I66" s="41" t="s">
        <v>989</v>
      </c>
      <c r="J66" s="41" t="s">
        <v>636</v>
      </c>
      <c r="K66" s="41" t="s">
        <v>636</v>
      </c>
      <c r="L66" s="41">
        <v>21</v>
      </c>
      <c r="M66" s="41"/>
    </row>
    <row r="67" spans="1:13" ht="22.5" customHeight="1">
      <c r="A67" s="42">
        <v>45780.550373784718</v>
      </c>
      <c r="B67" s="41" t="s">
        <v>552</v>
      </c>
      <c r="L67" s="41">
        <v>32</v>
      </c>
      <c r="M67" s="41"/>
    </row>
    <row r="68" spans="1:13" ht="22.5" customHeight="1">
      <c r="A68" s="42">
        <v>45780.552083576389</v>
      </c>
      <c r="B68" s="41" t="s">
        <v>553</v>
      </c>
      <c r="C68" s="41" t="s">
        <v>189</v>
      </c>
      <c r="D68" s="41" t="s">
        <v>556</v>
      </c>
      <c r="E68" s="41" t="s">
        <v>556</v>
      </c>
      <c r="F68" s="41" t="s">
        <v>990</v>
      </c>
      <c r="G68" s="41" t="s">
        <v>991</v>
      </c>
      <c r="H68" s="41" t="s">
        <v>992</v>
      </c>
      <c r="I68" s="41" t="s">
        <v>993</v>
      </c>
      <c r="J68" s="41" t="s">
        <v>994</v>
      </c>
      <c r="K68" s="41" t="s">
        <v>995</v>
      </c>
      <c r="L68" s="41">
        <v>32</v>
      </c>
      <c r="M68" s="41"/>
    </row>
    <row r="69" spans="1:13" ht="22.5" customHeight="1">
      <c r="A69" s="42">
        <v>45780.95544766204</v>
      </c>
      <c r="B69" s="41" t="s">
        <v>566</v>
      </c>
      <c r="C69" s="41" t="s">
        <v>612</v>
      </c>
      <c r="D69" s="41" t="s">
        <v>612</v>
      </c>
      <c r="E69" s="41" t="s">
        <v>612</v>
      </c>
      <c r="F69" s="41" t="s">
        <v>612</v>
      </c>
      <c r="G69" s="41" t="s">
        <v>612</v>
      </c>
      <c r="H69" s="41" t="s">
        <v>989</v>
      </c>
      <c r="I69" s="41" t="s">
        <v>612</v>
      </c>
      <c r="J69" s="41" t="s">
        <v>639</v>
      </c>
      <c r="K69" s="41" t="s">
        <v>996</v>
      </c>
      <c r="L69" s="41">
        <v>10</v>
      </c>
      <c r="M69" s="41"/>
    </row>
    <row r="70" spans="1:13" ht="22.5" customHeight="1">
      <c r="A70" s="42">
        <v>45783.635856469904</v>
      </c>
      <c r="B70" s="41" t="s">
        <v>610</v>
      </c>
      <c r="C70" s="41" t="s">
        <v>549</v>
      </c>
      <c r="D70" s="41" t="s">
        <v>313</v>
      </c>
      <c r="E70" s="41" t="s">
        <v>313</v>
      </c>
      <c r="F70" s="41" t="s">
        <v>499</v>
      </c>
      <c r="G70" s="41" t="s">
        <v>313</v>
      </c>
      <c r="H70" s="41" t="s">
        <v>313</v>
      </c>
      <c r="I70" s="41" t="s">
        <v>499</v>
      </c>
      <c r="J70" s="41" t="s">
        <v>313</v>
      </c>
      <c r="K70" s="41" t="s">
        <v>997</v>
      </c>
      <c r="L70" s="41">
        <v>10</v>
      </c>
      <c r="M70" s="41"/>
    </row>
    <row r="71" spans="1:13" ht="22.5" customHeight="1">
      <c r="A71" s="42">
        <v>45783.68120950232</v>
      </c>
      <c r="B71" s="41" t="s">
        <v>625</v>
      </c>
      <c r="C71" s="41" t="s">
        <v>789</v>
      </c>
      <c r="D71" s="41" t="s">
        <v>998</v>
      </c>
      <c r="E71" s="41" t="s">
        <v>789</v>
      </c>
      <c r="F71" s="41" t="s">
        <v>789</v>
      </c>
      <c r="G71" s="41" t="s">
        <v>598</v>
      </c>
      <c r="H71" s="41" t="s">
        <v>789</v>
      </c>
      <c r="I71" s="41" t="s">
        <v>789</v>
      </c>
      <c r="J71" s="41" t="s">
        <v>999</v>
      </c>
      <c r="K71" s="41" t="s">
        <v>1000</v>
      </c>
      <c r="L71" s="41">
        <v>10</v>
      </c>
      <c r="M71" s="41"/>
    </row>
    <row r="72" spans="1:13" ht="22.5" customHeight="1">
      <c r="A72" s="42">
        <v>45783.70882782407</v>
      </c>
      <c r="B72" s="41" t="s">
        <v>646</v>
      </c>
      <c r="L72" s="41">
        <v>10</v>
      </c>
      <c r="M72" s="41"/>
    </row>
    <row r="73" spans="1:13" ht="22.5" customHeight="1">
      <c r="A73" s="42">
        <v>45783.720672488431</v>
      </c>
      <c r="B73" s="41" t="s">
        <v>653</v>
      </c>
      <c r="L73" s="41">
        <v>10</v>
      </c>
      <c r="M73" s="41"/>
    </row>
    <row r="74" spans="1:13" ht="22.5" customHeight="1">
      <c r="A74" s="42">
        <v>45783.724082962959</v>
      </c>
      <c r="B74" s="41" t="s">
        <v>654</v>
      </c>
      <c r="C74" s="41">
        <v>4653463</v>
      </c>
      <c r="D74" s="41" t="s">
        <v>1001</v>
      </c>
      <c r="E74" s="41">
        <v>323435</v>
      </c>
      <c r="F74" s="41" t="s">
        <v>936</v>
      </c>
      <c r="G74" s="41" t="s">
        <v>1002</v>
      </c>
      <c r="H74" s="41" t="s">
        <v>1003</v>
      </c>
      <c r="I74" s="41" t="s">
        <v>1004</v>
      </c>
      <c r="J74" s="41" t="s">
        <v>938</v>
      </c>
      <c r="K74" s="41" t="s">
        <v>1005</v>
      </c>
      <c r="L74" s="41">
        <v>20</v>
      </c>
      <c r="M74" s="41"/>
    </row>
    <row r="75" spans="1:13" ht="22.5" customHeight="1">
      <c r="A75" s="42">
        <v>45784.307167465275</v>
      </c>
      <c r="B75" s="41" t="s">
        <v>665</v>
      </c>
      <c r="C75" s="41" t="s">
        <v>1006</v>
      </c>
      <c r="D75" s="41" t="s">
        <v>356</v>
      </c>
      <c r="E75" s="41" t="s">
        <v>1007</v>
      </c>
      <c r="F75" s="41" t="s">
        <v>1007</v>
      </c>
      <c r="G75" s="41" t="s">
        <v>622</v>
      </c>
      <c r="H75" s="41" t="s">
        <v>1007</v>
      </c>
      <c r="I75" s="41" t="s">
        <v>619</v>
      </c>
      <c r="J75" s="41" t="s">
        <v>1008</v>
      </c>
      <c r="K75" s="41" t="s">
        <v>574</v>
      </c>
      <c r="L75" s="41">
        <v>10</v>
      </c>
      <c r="M75" s="41"/>
    </row>
    <row r="76" spans="1:13" ht="22.5" customHeight="1">
      <c r="A76" s="42">
        <v>45784.319877291666</v>
      </c>
      <c r="B76" s="41" t="s">
        <v>672</v>
      </c>
      <c r="L76" s="41">
        <v>10</v>
      </c>
      <c r="M76" s="41"/>
    </row>
    <row r="77" spans="1:13" ht="22.5" customHeight="1">
      <c r="A77" s="42">
        <v>45784.504026898147</v>
      </c>
      <c r="B77" s="41" t="s">
        <v>673</v>
      </c>
      <c r="C77" s="41">
        <v>3442354</v>
      </c>
      <c r="D77" s="41" t="s">
        <v>1009</v>
      </c>
      <c r="E77" s="41">
        <v>44345</v>
      </c>
      <c r="F77" s="41" t="s">
        <v>936</v>
      </c>
      <c r="G77" s="41" t="s">
        <v>1010</v>
      </c>
      <c r="I77" s="41" t="s">
        <v>1004</v>
      </c>
      <c r="J77" s="41" t="s">
        <v>1011</v>
      </c>
      <c r="K77" s="41" t="s">
        <v>1012</v>
      </c>
      <c r="L77" s="41">
        <v>10</v>
      </c>
      <c r="M77" s="41"/>
    </row>
    <row r="78" spans="1:13" ht="22.5" customHeight="1">
      <c r="A78" s="42">
        <v>45784.533557465278</v>
      </c>
      <c r="B78" s="41" t="s">
        <v>693</v>
      </c>
      <c r="C78" s="41" t="s">
        <v>1013</v>
      </c>
      <c r="D78" s="41" t="s">
        <v>1014</v>
      </c>
      <c r="E78" s="43" t="s">
        <v>1015</v>
      </c>
      <c r="F78" s="41" t="s">
        <v>1016</v>
      </c>
      <c r="G78" s="41" t="s">
        <v>1017</v>
      </c>
      <c r="H78" s="41" t="s">
        <v>1018</v>
      </c>
      <c r="I78" s="41" t="s">
        <v>1019</v>
      </c>
      <c r="J78" s="41" t="s">
        <v>1020</v>
      </c>
      <c r="K78" s="41" t="s">
        <v>1021</v>
      </c>
      <c r="L78" s="41" t="s">
        <v>1022</v>
      </c>
      <c r="M78" s="41"/>
    </row>
    <row r="79" spans="1:13" ht="22.5" customHeight="1">
      <c r="A79" s="42">
        <v>45801.323334502318</v>
      </c>
      <c r="B79" s="41" t="s">
        <v>1023</v>
      </c>
      <c r="C79" s="41" t="s">
        <v>1024</v>
      </c>
      <c r="D79" s="41" t="s">
        <v>1025</v>
      </c>
      <c r="E79" s="41" t="s">
        <v>1026</v>
      </c>
      <c r="F79" s="41" t="s">
        <v>1027</v>
      </c>
      <c r="G79" s="41" t="s">
        <v>1028</v>
      </c>
      <c r="H79" s="41" t="s">
        <v>1029</v>
      </c>
      <c r="I79" s="41" t="s">
        <v>1030</v>
      </c>
      <c r="J79" s="41" t="s">
        <v>1031</v>
      </c>
      <c r="K79" s="41" t="s">
        <v>1032</v>
      </c>
      <c r="L79" s="41">
        <v>55</v>
      </c>
      <c r="M79" s="41"/>
    </row>
    <row r="80" spans="1:13" ht="22.5" customHeight="1">
      <c r="A80" s="42">
        <v>45801.324342118052</v>
      </c>
      <c r="B80" s="41" t="s">
        <v>699</v>
      </c>
      <c r="L80" s="41">
        <v>12</v>
      </c>
      <c r="M80" s="41"/>
    </row>
    <row r="81" spans="1:13" ht="22.5" customHeight="1">
      <c r="A81" s="42">
        <v>45811.665875682869</v>
      </c>
      <c r="B81" s="41" t="s">
        <v>1033</v>
      </c>
      <c r="M81" s="41" t="s">
        <v>1034</v>
      </c>
    </row>
    <row r="82" spans="1:13" ht="22.5" customHeight="1">
      <c r="A82" s="42">
        <v>45811.670422083334</v>
      </c>
      <c r="B82" s="41" t="s">
        <v>1035</v>
      </c>
      <c r="C82" s="41" t="s">
        <v>1036</v>
      </c>
      <c r="D82" s="41" t="s">
        <v>1037</v>
      </c>
      <c r="E82" s="41" t="s">
        <v>306</v>
      </c>
      <c r="F82" s="41" t="s">
        <v>1038</v>
      </c>
      <c r="G82" s="41" t="s">
        <v>1039</v>
      </c>
      <c r="H82" s="41" t="s">
        <v>1040</v>
      </c>
      <c r="I82" s="41" t="s">
        <v>1041</v>
      </c>
      <c r="J82" s="41" t="s">
        <v>1042</v>
      </c>
      <c r="K82" s="41" t="s">
        <v>1043</v>
      </c>
      <c r="L82" s="41" t="s">
        <v>1044</v>
      </c>
      <c r="M82" s="41" t="s">
        <v>1045</v>
      </c>
    </row>
    <row r="83" spans="1:13" ht="22.5" customHeight="1">
      <c r="A83" s="42">
        <v>45811.690027199074</v>
      </c>
      <c r="B83" s="41" t="s">
        <v>1046</v>
      </c>
      <c r="C83" s="41" t="s">
        <v>1047</v>
      </c>
      <c r="D83" s="41" t="s">
        <v>1048</v>
      </c>
      <c r="E83" s="41" t="s">
        <v>217</v>
      </c>
      <c r="F83" s="41" t="s">
        <v>1038</v>
      </c>
      <c r="G83" s="41" t="s">
        <v>1049</v>
      </c>
      <c r="H83" s="41" t="s">
        <v>1050</v>
      </c>
      <c r="I83" s="41" t="s">
        <v>1051</v>
      </c>
      <c r="J83" s="41" t="s">
        <v>1052</v>
      </c>
      <c r="K83" s="41" t="s">
        <v>1053</v>
      </c>
      <c r="L83" s="41" t="s">
        <v>1054</v>
      </c>
      <c r="M83" s="41" t="s">
        <v>1055</v>
      </c>
    </row>
    <row r="84" spans="1:13" ht="22.5" customHeight="1">
      <c r="A84" s="42">
        <v>45812.604718761577</v>
      </c>
      <c r="B84" s="41" t="s">
        <v>1056</v>
      </c>
      <c r="C84" s="41" t="s">
        <v>1047</v>
      </c>
      <c r="D84" s="41" t="s">
        <v>1057</v>
      </c>
      <c r="E84" s="41" t="s">
        <v>217</v>
      </c>
      <c r="F84" s="41" t="s">
        <v>1038</v>
      </c>
      <c r="G84" s="41" t="s">
        <v>1058</v>
      </c>
      <c r="H84" s="41" t="s">
        <v>1059</v>
      </c>
      <c r="I84" s="41" t="s">
        <v>1051</v>
      </c>
      <c r="J84" s="41" t="s">
        <v>1060</v>
      </c>
      <c r="K84" s="41" t="s">
        <v>1043</v>
      </c>
      <c r="L84" s="41">
        <v>1</v>
      </c>
      <c r="M84" s="41" t="s">
        <v>1061</v>
      </c>
    </row>
    <row r="85" spans="1:13" ht="22.5" customHeight="1">
      <c r="A85" s="42">
        <v>45812.665609212963</v>
      </c>
      <c r="B85" s="41" t="s">
        <v>1062</v>
      </c>
      <c r="C85" s="41" t="s">
        <v>1063</v>
      </c>
      <c r="D85" s="41" t="s">
        <v>1064</v>
      </c>
      <c r="E85" s="41" t="s">
        <v>1065</v>
      </c>
      <c r="F85" s="41" t="s">
        <v>1066</v>
      </c>
      <c r="G85" s="41" t="s">
        <v>1067</v>
      </c>
      <c r="H85" s="41" t="s">
        <v>1068</v>
      </c>
      <c r="I85" s="41" t="s">
        <v>843</v>
      </c>
      <c r="J85" s="41" t="s">
        <v>1069</v>
      </c>
      <c r="K85" s="41" t="s">
        <v>1070</v>
      </c>
      <c r="L85" s="41">
        <v>2</v>
      </c>
      <c r="M85" s="41" t="s">
        <v>59</v>
      </c>
    </row>
    <row r="86" spans="1:13" ht="22.5" customHeight="1">
      <c r="A86" s="42">
        <v>45814.683686111108</v>
      </c>
      <c r="B86" s="41" t="s">
        <v>333</v>
      </c>
      <c r="C86" s="41" t="s">
        <v>1071</v>
      </c>
      <c r="D86" s="41" t="s">
        <v>1072</v>
      </c>
      <c r="E86" s="41">
        <v>3453</v>
      </c>
      <c r="F86" s="41" t="s">
        <v>843</v>
      </c>
      <c r="G86" s="41" t="s">
        <v>1073</v>
      </c>
      <c r="H86" s="41" t="s">
        <v>1073</v>
      </c>
      <c r="I86" s="41" t="s">
        <v>1074</v>
      </c>
      <c r="J86" s="41" t="s">
        <v>356</v>
      </c>
      <c r="K86" s="41" t="s">
        <v>1075</v>
      </c>
      <c r="L86" s="41">
        <v>34</v>
      </c>
      <c r="M86" s="41" t="s">
        <v>63</v>
      </c>
    </row>
    <row r="87" spans="1:13" ht="22.5" customHeight="1">
      <c r="A87" s="42">
        <v>45814.688900972222</v>
      </c>
      <c r="B87" s="41" t="s">
        <v>1076</v>
      </c>
      <c r="M87" s="41" t="s">
        <v>1077</v>
      </c>
    </row>
    <row r="88" spans="1:13" ht="22.5" customHeight="1">
      <c r="A88" s="42">
        <v>45814.689194328705</v>
      </c>
      <c r="B88" s="41" t="s">
        <v>1078</v>
      </c>
      <c r="M88" s="41" t="s">
        <v>1079</v>
      </c>
    </row>
    <row r="89" spans="1:13" ht="22.5" customHeight="1">
      <c r="A89" s="42">
        <v>45814.689695428242</v>
      </c>
      <c r="B89" s="41" t="s">
        <v>610</v>
      </c>
      <c r="M89" s="41" t="s">
        <v>1080</v>
      </c>
    </row>
    <row r="90" spans="1:13" ht="22.5" customHeight="1">
      <c r="A90" s="42">
        <v>45817.629797094909</v>
      </c>
      <c r="B90" s="41" t="s">
        <v>1081</v>
      </c>
      <c r="M90" s="41" t="s">
        <v>1055</v>
      </c>
    </row>
    <row r="91" spans="1:13" ht="22.5" customHeight="1">
      <c r="A91" s="42">
        <v>45817.666073460648</v>
      </c>
      <c r="B91" s="41" t="s">
        <v>1082</v>
      </c>
      <c r="M91" s="41" t="s">
        <v>1083</v>
      </c>
    </row>
    <row r="92" spans="1:13" ht="22.5" customHeight="1">
      <c r="A92" s="42">
        <v>45817.667529143517</v>
      </c>
      <c r="B92" s="41" t="s">
        <v>1084</v>
      </c>
      <c r="M92" s="41" t="s">
        <v>1085</v>
      </c>
    </row>
    <row r="93" spans="1:13" ht="22.5" customHeight="1">
      <c r="A93" s="42">
        <v>45820.649930266205</v>
      </c>
      <c r="C93" s="41" t="s">
        <v>1086</v>
      </c>
      <c r="D93" s="41" t="s">
        <v>1087</v>
      </c>
      <c r="E93" s="41" t="s">
        <v>1008</v>
      </c>
      <c r="F93" s="41" t="s">
        <v>622</v>
      </c>
      <c r="G93" s="41" t="s">
        <v>356</v>
      </c>
      <c r="H93" s="41" t="s">
        <v>624</v>
      </c>
      <c r="I93" s="41" t="s">
        <v>621</v>
      </c>
      <c r="J93" s="41" t="s">
        <v>1008</v>
      </c>
      <c r="K93" s="41" t="s">
        <v>622</v>
      </c>
      <c r="L93" s="41" t="s">
        <v>622</v>
      </c>
      <c r="M93" s="41" t="s">
        <v>1061</v>
      </c>
    </row>
    <row r="94" spans="1:13" ht="22.5" customHeight="1">
      <c r="A94" s="42">
        <v>45820.651278993057</v>
      </c>
      <c r="C94" s="41" t="s">
        <v>1088</v>
      </c>
      <c r="D94" s="41" t="s">
        <v>622</v>
      </c>
      <c r="E94" s="41" t="s">
        <v>574</v>
      </c>
      <c r="F94" s="41" t="s">
        <v>574</v>
      </c>
      <c r="G94" s="41" t="s">
        <v>574</v>
      </c>
      <c r="H94" s="41" t="s">
        <v>619</v>
      </c>
      <c r="I94" s="41" t="s">
        <v>574</v>
      </c>
      <c r="J94" s="41" t="s">
        <v>574</v>
      </c>
      <c r="K94" s="41" t="s">
        <v>356</v>
      </c>
      <c r="L94" s="41" t="s">
        <v>1089</v>
      </c>
      <c r="M94" s="41" t="s">
        <v>63</v>
      </c>
    </row>
    <row r="95" spans="1:13" ht="22.5" customHeight="1">
      <c r="A95" s="42">
        <v>45820.651967696758</v>
      </c>
      <c r="M95" s="41" t="s">
        <v>1045</v>
      </c>
    </row>
    <row r="96" spans="1:13" ht="22.5" customHeight="1">
      <c r="A96" s="42">
        <v>45820.652385532405</v>
      </c>
      <c r="M96" s="41" t="s">
        <v>59</v>
      </c>
    </row>
    <row r="97" spans="1:13" ht="22.5" customHeight="1">
      <c r="A97" s="42">
        <v>45820.653863298612</v>
      </c>
      <c r="M97" s="41" t="s">
        <v>1085</v>
      </c>
    </row>
    <row r="98" spans="1:13" ht="22.5" customHeight="1">
      <c r="A98" s="42">
        <v>45820.660018865739</v>
      </c>
      <c r="M98" s="41" t="s">
        <v>1077</v>
      </c>
    </row>
    <row r="99" spans="1:13" ht="22.5" customHeight="1">
      <c r="A99" s="42">
        <v>45820.660753171294</v>
      </c>
      <c r="M99" s="41" t="s">
        <v>1034</v>
      </c>
    </row>
    <row r="100" spans="1:13" ht="22.5" customHeight="1">
      <c r="A100" s="42">
        <v>45820.66103456018</v>
      </c>
      <c r="M100" s="41" t="s">
        <v>1080</v>
      </c>
    </row>
    <row r="101" spans="1:13" ht="22.5" customHeight="1">
      <c r="A101" s="42">
        <v>45820.710524467591</v>
      </c>
      <c r="M101" s="41" t="s">
        <v>1083</v>
      </c>
    </row>
    <row r="102" spans="1:13" ht="22.5" customHeight="1">
      <c r="A102" s="42">
        <v>45820.712076469907</v>
      </c>
      <c r="M102" s="41" t="s">
        <v>1045</v>
      </c>
    </row>
    <row r="103" spans="1:13" ht="22.5" customHeight="1">
      <c r="A103" s="42">
        <v>45820.73150976852</v>
      </c>
      <c r="M103" s="41" t="s">
        <v>1090</v>
      </c>
    </row>
    <row r="104" spans="1:13" ht="22.5" customHeight="1">
      <c r="A104" s="42">
        <v>45822.648346354166</v>
      </c>
      <c r="M104" s="41" t="s">
        <v>1045</v>
      </c>
    </row>
    <row r="105" spans="1:13" ht="22.5" customHeight="1">
      <c r="A105" s="42">
        <v>45822.648939768522</v>
      </c>
      <c r="M105" s="41" t="s">
        <v>1045</v>
      </c>
    </row>
    <row r="106" spans="1:13" ht="22.5" customHeight="1">
      <c r="A106" s="42">
        <v>45822.64916241898</v>
      </c>
      <c r="M106" s="41" t="s">
        <v>1045</v>
      </c>
    </row>
    <row r="107" spans="1:13" ht="22.5" customHeight="1">
      <c r="A107" s="42">
        <v>45822.649879999997</v>
      </c>
      <c r="M107" s="41" t="s">
        <v>1061</v>
      </c>
    </row>
    <row r="108" spans="1:13" ht="22.5" customHeight="1">
      <c r="A108" s="42">
        <v>45822.650017164357</v>
      </c>
      <c r="M108" s="41" t="s">
        <v>63</v>
      </c>
    </row>
    <row r="109" spans="1:13" ht="22.5" customHeight="1">
      <c r="A109" s="42">
        <v>45822.650550775463</v>
      </c>
      <c r="M109" s="41" t="s">
        <v>63</v>
      </c>
    </row>
    <row r="110" spans="1:13" ht="22.5" customHeight="1">
      <c r="A110" s="42">
        <v>45822.650698055557</v>
      </c>
      <c r="M110" s="41" t="s">
        <v>59</v>
      </c>
    </row>
    <row r="111" spans="1:13" ht="22.5" customHeight="1">
      <c r="A111" s="42">
        <v>45822.660583171295</v>
      </c>
      <c r="M111" s="41" t="s">
        <v>1079</v>
      </c>
    </row>
    <row r="112" spans="1:13" ht="22.5" customHeight="1">
      <c r="A112" s="42">
        <v>45822.663605081019</v>
      </c>
      <c r="M112" s="41" t="s">
        <v>1083</v>
      </c>
    </row>
    <row r="113" spans="1:13" ht="22.5" customHeight="1">
      <c r="A113" s="42">
        <v>45822.663909039351</v>
      </c>
      <c r="M113" s="41" t="s">
        <v>1045</v>
      </c>
    </row>
    <row r="114" spans="1:13" ht="22.5" customHeight="1">
      <c r="A114" s="42">
        <v>45822.664292476853</v>
      </c>
      <c r="M114" s="41" t="s">
        <v>1061</v>
      </c>
    </row>
    <row r="115" spans="1:13" ht="22.5" customHeight="1">
      <c r="A115" s="42">
        <v>45822.664456354163</v>
      </c>
      <c r="M115" s="41" t="s">
        <v>1034</v>
      </c>
    </row>
    <row r="116" spans="1:13" ht="22.5" customHeight="1">
      <c r="A116" s="42">
        <v>45822.664576006944</v>
      </c>
      <c r="M116" s="41" t="s">
        <v>1061</v>
      </c>
    </row>
    <row r="117" spans="1:13" ht="22.5" customHeight="1">
      <c r="A117" s="42">
        <v>45822.664701423608</v>
      </c>
      <c r="M117" s="41" t="s">
        <v>1061</v>
      </c>
    </row>
    <row r="118" spans="1:13" ht="22.5" customHeight="1">
      <c r="A118" s="42">
        <v>45822.668974293978</v>
      </c>
      <c r="M118" s="41" t="s">
        <v>1080</v>
      </c>
    </row>
    <row r="119" spans="1:13" ht="22.5" customHeight="1">
      <c r="A119" s="42">
        <v>45822.671524687496</v>
      </c>
      <c r="M119" s="41" t="s">
        <v>1034</v>
      </c>
    </row>
    <row r="120" spans="1:13" ht="22.5" customHeight="1">
      <c r="A120" s="42">
        <v>45822.671731226852</v>
      </c>
      <c r="M120" s="41" t="s">
        <v>59</v>
      </c>
    </row>
    <row r="121" spans="1:13" ht="22.5" customHeight="1">
      <c r="A121" s="42">
        <v>45822.67340295139</v>
      </c>
      <c r="M121" s="41" t="s">
        <v>1085</v>
      </c>
    </row>
    <row r="122" spans="1:13" ht="22.5" customHeight="1">
      <c r="A122" s="42">
        <v>45822.677748206013</v>
      </c>
      <c r="M122" s="41" t="s">
        <v>1083</v>
      </c>
    </row>
    <row r="123" spans="1:13" ht="22.5" customHeight="1">
      <c r="A123" s="42">
        <v>45822.678062997686</v>
      </c>
      <c r="M123" s="41" t="s">
        <v>1080</v>
      </c>
    </row>
    <row r="124" spans="1:13" ht="22.5" customHeight="1">
      <c r="A124" s="42">
        <v>45822.678213310181</v>
      </c>
      <c r="M124" s="41" t="s">
        <v>1055</v>
      </c>
    </row>
    <row r="125" spans="1:13" ht="22.5" customHeight="1">
      <c r="A125" s="42">
        <v>45822.685052152781</v>
      </c>
      <c r="M125" s="41" t="s">
        <v>63</v>
      </c>
    </row>
    <row r="126" spans="1:13" ht="22.5" customHeight="1">
      <c r="A126" s="42">
        <v>45822.685594456023</v>
      </c>
      <c r="M126" s="41" t="s">
        <v>1085</v>
      </c>
    </row>
    <row r="127" spans="1:13" ht="22.5" customHeight="1">
      <c r="A127" s="42">
        <v>45822.685902245372</v>
      </c>
      <c r="M127" s="41" t="s">
        <v>1061</v>
      </c>
    </row>
    <row r="128" spans="1:13" ht="22.5" customHeight="1">
      <c r="A128" s="42">
        <v>45822.687736747685</v>
      </c>
      <c r="M128" s="41" t="s">
        <v>1034</v>
      </c>
    </row>
    <row r="129" spans="1:13" ht="22.5" customHeight="1">
      <c r="A129" s="42">
        <v>45822.689014861113</v>
      </c>
      <c r="M129" s="41" t="s">
        <v>1079</v>
      </c>
    </row>
    <row r="130" spans="1:13" ht="22.5" customHeight="1">
      <c r="A130" s="42">
        <v>45822.694827592597</v>
      </c>
      <c r="M130" s="41" t="s">
        <v>1061</v>
      </c>
    </row>
    <row r="131" spans="1:13" ht="22.5" customHeight="1">
      <c r="A131" s="42">
        <v>45822.695034004631</v>
      </c>
      <c r="M131" s="41" t="s">
        <v>1034</v>
      </c>
    </row>
    <row r="132" spans="1:13" ht="22.5" customHeight="1">
      <c r="A132" s="42">
        <v>45822.695370162037</v>
      </c>
      <c r="M132" s="41" t="s">
        <v>1079</v>
      </c>
    </row>
    <row r="133" spans="1:13" ht="22.5" customHeight="1">
      <c r="A133" s="42">
        <v>45822.702600069446</v>
      </c>
      <c r="M133" s="41" t="s">
        <v>59</v>
      </c>
    </row>
    <row r="134" spans="1:13" ht="22.5" customHeight="1">
      <c r="A134" s="42">
        <v>45822.70283195602</v>
      </c>
      <c r="M134" s="41" t="s">
        <v>63</v>
      </c>
    </row>
    <row r="135" spans="1:13" ht="22.5" customHeight="1">
      <c r="A135" s="42">
        <v>45822.703034641207</v>
      </c>
      <c r="M135" s="41" t="s">
        <v>1061</v>
      </c>
    </row>
    <row r="136" spans="1:13" ht="22.5" customHeight="1">
      <c r="A136" s="42">
        <v>45822.70329675926</v>
      </c>
      <c r="M136" s="41" t="s">
        <v>1079</v>
      </c>
    </row>
    <row r="137" spans="1:13" ht="22.5" customHeight="1">
      <c r="A137" s="42">
        <v>45822.703453032409</v>
      </c>
      <c r="M137" s="41" t="s">
        <v>63</v>
      </c>
    </row>
    <row r="138" spans="1:13" ht="22.5" customHeight="1">
      <c r="A138" s="42">
        <v>45822.703606655094</v>
      </c>
      <c r="M138" s="41" t="s">
        <v>63</v>
      </c>
    </row>
    <row r="139" spans="1:13" ht="22.5" customHeight="1">
      <c r="A139" s="42">
        <v>45822.703889525466</v>
      </c>
      <c r="C139" s="41" t="s">
        <v>577</v>
      </c>
      <c r="D139" s="41" t="s">
        <v>501</v>
      </c>
      <c r="E139" s="41" t="s">
        <v>1091</v>
      </c>
      <c r="F139" s="41" t="s">
        <v>1092</v>
      </c>
      <c r="G139" s="41" t="s">
        <v>1093</v>
      </c>
      <c r="H139" s="41" t="s">
        <v>1094</v>
      </c>
      <c r="I139" s="41" t="s">
        <v>1095</v>
      </c>
      <c r="J139" s="41" t="s">
        <v>1096</v>
      </c>
      <c r="K139" s="41" t="s">
        <v>1097</v>
      </c>
      <c r="L139" s="41">
        <v>21</v>
      </c>
      <c r="M139" s="41" t="s">
        <v>1061</v>
      </c>
    </row>
    <row r="140" spans="1:13" ht="22.5" customHeight="1">
      <c r="A140" s="42">
        <v>45824.64967024306</v>
      </c>
      <c r="C140" s="41" t="s">
        <v>628</v>
      </c>
      <c r="D140" s="41" t="s">
        <v>628</v>
      </c>
      <c r="E140" s="41" t="s">
        <v>628</v>
      </c>
      <c r="F140" s="41" t="s">
        <v>217</v>
      </c>
      <c r="G140" s="41" t="s">
        <v>356</v>
      </c>
      <c r="H140" s="41" t="s">
        <v>624</v>
      </c>
      <c r="I140" s="41" t="s">
        <v>628</v>
      </c>
      <c r="J140" s="41" t="s">
        <v>629</v>
      </c>
      <c r="K140" s="41" t="s">
        <v>629</v>
      </c>
      <c r="L140" s="41">
        <v>10</v>
      </c>
      <c r="M140" s="41" t="s">
        <v>59</v>
      </c>
    </row>
    <row r="141" spans="1:13" ht="22.5" customHeight="1">
      <c r="A141" s="42">
        <v>45824.659443611112</v>
      </c>
      <c r="M141" s="41" t="s">
        <v>59</v>
      </c>
    </row>
    <row r="142" spans="1:13" ht="22.5" customHeight="1">
      <c r="A142" s="42">
        <v>45824.688534652778</v>
      </c>
      <c r="C142" s="41" t="s">
        <v>1098</v>
      </c>
      <c r="D142" s="41" t="s">
        <v>1099</v>
      </c>
      <c r="E142" s="41" t="s">
        <v>501</v>
      </c>
      <c r="F142" s="41" t="s">
        <v>577</v>
      </c>
      <c r="G142" s="41" t="s">
        <v>501</v>
      </c>
      <c r="H142" s="41" t="s">
        <v>501</v>
      </c>
      <c r="I142" s="41" t="s">
        <v>501</v>
      </c>
      <c r="J142" s="41" t="s">
        <v>501</v>
      </c>
      <c r="K142" s="41" t="s">
        <v>501</v>
      </c>
      <c r="L142" s="41">
        <v>2</v>
      </c>
      <c r="M142" s="41" t="s">
        <v>50</v>
      </c>
    </row>
    <row r="143" spans="1:13" ht="22.5" customHeight="1">
      <c r="A143" s="42">
        <v>45826.680398101853</v>
      </c>
      <c r="C143" s="41" t="s">
        <v>669</v>
      </c>
      <c r="D143" s="41" t="s">
        <v>707</v>
      </c>
      <c r="E143" s="41" t="s">
        <v>622</v>
      </c>
      <c r="F143" s="41" t="s">
        <v>622</v>
      </c>
      <c r="G143" s="41" t="s">
        <v>622</v>
      </c>
      <c r="H143" s="41" t="s">
        <v>217</v>
      </c>
      <c r="I143" s="41" t="s">
        <v>619</v>
      </c>
      <c r="J143" s="41" t="s">
        <v>621</v>
      </c>
      <c r="K143" s="41" t="s">
        <v>621</v>
      </c>
      <c r="L143" s="41">
        <v>33</v>
      </c>
      <c r="M143" s="41" t="s">
        <v>700</v>
      </c>
    </row>
    <row r="144" spans="1:13" ht="22.5" customHeight="1">
      <c r="A144" s="42">
        <v>45826.695404004626</v>
      </c>
      <c r="M144" s="41" t="s">
        <v>59</v>
      </c>
    </row>
    <row r="145" spans="1:13" ht="22.5" customHeight="1">
      <c r="A145" s="42">
        <v>45826.696973692131</v>
      </c>
      <c r="M145" s="41" t="s">
        <v>63</v>
      </c>
    </row>
    <row r="146" spans="1:13" ht="22.5" customHeight="1">
      <c r="A146" s="42">
        <v>45826.699082615742</v>
      </c>
      <c r="M146" s="41" t="s">
        <v>703</v>
      </c>
    </row>
    <row r="147" spans="1:13" ht="22.5" customHeight="1">
      <c r="A147" s="42">
        <v>45826.699681006939</v>
      </c>
      <c r="M147" s="41" t="s">
        <v>38</v>
      </c>
    </row>
    <row r="148" spans="1:13" ht="22.5" customHeight="1">
      <c r="A148" s="42">
        <v>45826.762538784722</v>
      </c>
      <c r="M148" s="41" t="s">
        <v>63</v>
      </c>
    </row>
    <row r="149" spans="1:13" ht="22.5" customHeight="1">
      <c r="A149" s="42">
        <v>45826.76304258102</v>
      </c>
      <c r="M149" s="41" t="s">
        <v>63</v>
      </c>
    </row>
    <row r="150" spans="1:13" ht="22.5" customHeight="1">
      <c r="A150" s="42">
        <v>45826.763643969913</v>
      </c>
      <c r="M150" s="41" t="s">
        <v>42</v>
      </c>
    </row>
    <row r="151" spans="1:13" ht="22.5" customHeight="1">
      <c r="A151" s="42">
        <v>45826.764046990742</v>
      </c>
      <c r="M151" s="41" t="s">
        <v>35</v>
      </c>
    </row>
    <row r="152" spans="1:13" ht="22.5" customHeight="1">
      <c r="A152" s="42">
        <v>45826.783003935183</v>
      </c>
      <c r="M152" s="41" t="s">
        <v>50</v>
      </c>
    </row>
    <row r="153" spans="1:13" ht="22.5" customHeight="1">
      <c r="A153" s="42">
        <v>45826.783415914353</v>
      </c>
      <c r="M153" s="41" t="s">
        <v>1100</v>
      </c>
    </row>
    <row r="154" spans="1:13" ht="22.5" customHeight="1">
      <c r="A154" s="42">
        <v>45826.783792569448</v>
      </c>
      <c r="M154" s="41" t="s">
        <v>1100</v>
      </c>
    </row>
    <row r="155" spans="1:13" ht="22.5" customHeight="1">
      <c r="A155" s="42">
        <v>45826.783986273149</v>
      </c>
      <c r="M155" s="41" t="s">
        <v>38</v>
      </c>
    </row>
    <row r="156" spans="1:13" ht="22.5" customHeight="1">
      <c r="A156" s="42">
        <v>45826.784113368056</v>
      </c>
      <c r="M156" s="41" t="s">
        <v>706</v>
      </c>
    </row>
    <row r="157" spans="1:13" ht="22.5" customHeight="1">
      <c r="A157" s="42">
        <v>45826.784825625</v>
      </c>
      <c r="M157" s="41" t="s">
        <v>42</v>
      </c>
    </row>
    <row r="158" spans="1:13" ht="22.5" customHeight="1">
      <c r="A158" s="42">
        <v>45826.785260891207</v>
      </c>
      <c r="M158" s="41" t="s">
        <v>50</v>
      </c>
    </row>
    <row r="159" spans="1:13" ht="22.5" customHeight="1">
      <c r="A159" s="42">
        <v>45826.785542546291</v>
      </c>
      <c r="M159" s="41" t="s">
        <v>63</v>
      </c>
    </row>
    <row r="160" spans="1:13" ht="22.5" customHeight="1">
      <c r="A160" s="42">
        <v>45826.786447928243</v>
      </c>
      <c r="M160" s="41" t="s">
        <v>35</v>
      </c>
    </row>
    <row r="161" spans="1:13" ht="22.5" customHeight="1">
      <c r="A161" s="42">
        <v>45826.787430810189</v>
      </c>
      <c r="M161" s="41" t="s">
        <v>703</v>
      </c>
    </row>
    <row r="162" spans="1:13" ht="22.5" customHeight="1">
      <c r="A162" s="42">
        <v>45826.787798900463</v>
      </c>
      <c r="M162" s="41" t="s">
        <v>50</v>
      </c>
    </row>
    <row r="163" spans="1:13" ht="22.5" customHeight="1">
      <c r="A163" s="42">
        <v>45826.789059710645</v>
      </c>
      <c r="M163" s="41" t="s">
        <v>42</v>
      </c>
    </row>
    <row r="164" spans="1:13" ht="22.5" customHeight="1">
      <c r="A164" s="42">
        <v>45826.789376238426</v>
      </c>
      <c r="M164" s="41" t="s">
        <v>59</v>
      </c>
    </row>
    <row r="165" spans="1:13" ht="22.5" customHeight="1">
      <c r="A165" s="42">
        <v>45826.790388831017</v>
      </c>
      <c r="M165" s="41" t="s">
        <v>706</v>
      </c>
    </row>
    <row r="166" spans="1:13" ht="22.5" customHeight="1">
      <c r="A166" s="42">
        <v>45826.792054120371</v>
      </c>
      <c r="M166" s="41" t="s">
        <v>1101</v>
      </c>
    </row>
    <row r="167" spans="1:13" ht="22.5" customHeight="1">
      <c r="A167" s="42">
        <v>45826.799833495374</v>
      </c>
      <c r="M167" s="41" t="s">
        <v>38</v>
      </c>
    </row>
    <row r="168" spans="1:13" ht="22.5" customHeight="1">
      <c r="A168" s="42">
        <v>45826.818244351853</v>
      </c>
      <c r="M168" s="41" t="s">
        <v>42</v>
      </c>
    </row>
    <row r="169" spans="1:13" ht="22.5" customHeight="1">
      <c r="A169" s="42">
        <v>45826.90202079861</v>
      </c>
      <c r="M169" s="41" t="s">
        <v>59</v>
      </c>
    </row>
    <row r="170" spans="1:13" ht="22.5" customHeight="1">
      <c r="A170" s="42">
        <v>45826.914436053237</v>
      </c>
      <c r="M170" s="41" t="s">
        <v>63</v>
      </c>
    </row>
    <row r="171" spans="1:13" ht="22.5" customHeight="1">
      <c r="A171" s="42">
        <v>45826.917121331018</v>
      </c>
      <c r="M171" s="41" t="s">
        <v>1101</v>
      </c>
    </row>
    <row r="172" spans="1:13" ht="22.5" customHeight="1">
      <c r="A172" s="42">
        <v>45826.918008136578</v>
      </c>
      <c r="M172" s="41" t="s">
        <v>69</v>
      </c>
    </row>
    <row r="173" spans="1:13" ht="22.5" customHeight="1">
      <c r="A173" s="42">
        <v>45826.918210567128</v>
      </c>
      <c r="M173" s="41" t="s">
        <v>1100</v>
      </c>
    </row>
    <row r="174" spans="1:13" ht="22.5" customHeight="1">
      <c r="A174" s="42">
        <v>45826.918363935183</v>
      </c>
      <c r="M174" s="41" t="s">
        <v>700</v>
      </c>
    </row>
    <row r="175" spans="1:13" ht="22.5" customHeight="1">
      <c r="A175" s="42">
        <v>45826.918502083332</v>
      </c>
      <c r="M175" s="41" t="s">
        <v>706</v>
      </c>
    </row>
    <row r="176" spans="1:13" ht="22.5" customHeight="1">
      <c r="A176" s="42">
        <v>45826.918676296293</v>
      </c>
      <c r="M176" s="41" t="s">
        <v>50</v>
      </c>
    </row>
    <row r="177" spans="1:13" ht="22.5" customHeight="1">
      <c r="A177" s="42">
        <v>45826.918840763887</v>
      </c>
      <c r="M177" s="41" t="s">
        <v>703</v>
      </c>
    </row>
    <row r="178" spans="1:13" ht="22.5" customHeight="1">
      <c r="A178" s="42">
        <v>45826.919051423611</v>
      </c>
      <c r="M178" s="41" t="s">
        <v>42</v>
      </c>
    </row>
    <row r="179" spans="1:13" ht="22.5" customHeight="1">
      <c r="A179" s="42">
        <v>45826.91918837963</v>
      </c>
      <c r="M179" s="41" t="s">
        <v>38</v>
      </c>
    </row>
    <row r="180" spans="1:13" ht="22.5" customHeight="1">
      <c r="A180" s="42">
        <v>45826.919309907404</v>
      </c>
      <c r="M180" s="41" t="s">
        <v>63</v>
      </c>
    </row>
    <row r="181" spans="1:13" ht="22.5" customHeight="1">
      <c r="A181" s="42">
        <v>45826.924950243054</v>
      </c>
      <c r="M181" s="41" t="s">
        <v>35</v>
      </c>
    </row>
    <row r="182" spans="1:13" ht="22.5" customHeight="1">
      <c r="A182" s="42">
        <v>45826.925138599538</v>
      </c>
      <c r="M182" s="41" t="s">
        <v>38</v>
      </c>
    </row>
    <row r="183" spans="1:13" ht="22.5" customHeight="1">
      <c r="A183" s="42">
        <v>45826.925310393519</v>
      </c>
      <c r="M183" s="41" t="s">
        <v>42</v>
      </c>
    </row>
    <row r="184" spans="1:13" ht="22.5" customHeight="1">
      <c r="A184" s="42">
        <v>45826.925602256946</v>
      </c>
      <c r="M184" s="41" t="s">
        <v>703</v>
      </c>
    </row>
    <row r="185" spans="1:13" ht="22.5" customHeight="1">
      <c r="A185" s="42">
        <v>45826.925728333328</v>
      </c>
      <c r="M185" s="41" t="s">
        <v>50</v>
      </c>
    </row>
    <row r="186" spans="1:13" ht="22.5" customHeight="1">
      <c r="A186" s="42">
        <v>45826.92585107639</v>
      </c>
      <c r="M186" s="41" t="s">
        <v>69</v>
      </c>
    </row>
    <row r="187" spans="1:13" ht="22.5" customHeight="1">
      <c r="A187" s="42">
        <v>45826.926436597219</v>
      </c>
      <c r="M187" s="41" t="s">
        <v>69</v>
      </c>
    </row>
    <row r="188" spans="1:13" ht="22.5" customHeight="1">
      <c r="A188" s="42">
        <v>45826.926845543981</v>
      </c>
      <c r="M188" s="41" t="s">
        <v>69</v>
      </c>
    </row>
    <row r="189" spans="1:13" ht="22.5" customHeight="1">
      <c r="A189" s="42">
        <v>45826.944067476856</v>
      </c>
      <c r="M189" s="41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Hoja1</vt:lpstr>
      <vt:lpstr>info</vt:lpstr>
      <vt:lpstr>forms_productos</vt:lpstr>
      <vt:lpstr>Instancia</vt:lpstr>
      <vt:lpstr>forms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Lafont</dc:creator>
  <cp:lastModifiedBy>Santiago Lafont Diaz</cp:lastModifiedBy>
  <dcterms:created xsi:type="dcterms:W3CDTF">2025-11-24T03:49:58Z</dcterms:created>
  <dcterms:modified xsi:type="dcterms:W3CDTF">2025-11-24T03:49:58Z</dcterms:modified>
</cp:coreProperties>
</file>